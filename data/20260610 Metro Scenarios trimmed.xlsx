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uad.ibrahimzada\Downloads\"/>
    </mc:Choice>
  </mc:AlternateContent>
  <xr:revisionPtr revIDLastSave="0" documentId="13_ncr:1_{03BD1109-4748-4D38-98B3-29502FF93EB3}" xr6:coauthVersionLast="47" xr6:coauthVersionMax="47" xr10:uidLastSave="{00000000-0000-0000-0000-000000000000}"/>
  <bookViews>
    <workbookView xWindow="-108" yWindow="-108" windowWidth="23256" windowHeight="12456" activeTab="4" xr2:uid="{75CA7634-10C5-4494-9681-63C6296EB539}"/>
  </bookViews>
  <sheets>
    <sheet name="Scenarios" sheetId="2" r:id="rId1"/>
    <sheet name="Tram" sheetId="5" r:id="rId2"/>
    <sheet name="Metro" sheetId="1" r:id="rId3"/>
    <sheet name="First Entrance" sheetId="6" r:id="rId4"/>
    <sheet name="S5 Green Short Analysis" sheetId="7" r:id="rId5"/>
  </sheets>
  <definedNames>
    <definedName name="_xlnm.Print_Area" localSheetId="2">Metro!$A$1:$I$25</definedName>
    <definedName name="_xlnm.Print_Area" localSheetId="0">Scenarios!$A$1:$W$28</definedName>
    <definedName name="_xlnm.Print_Area" localSheetId="1">Tram!$A$1:$I$25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2" l="1"/>
  <c r="S46" i="2"/>
  <c r="T46" i="2"/>
  <c r="R42" i="2"/>
  <c r="S42" i="2"/>
  <c r="T42" i="2"/>
  <c r="R38" i="2"/>
  <c r="R39" i="2"/>
  <c r="S39" i="2"/>
  <c r="T39" i="2"/>
  <c r="R40" i="2"/>
  <c r="S40" i="2"/>
  <c r="T40" i="2"/>
  <c r="R33" i="2"/>
  <c r="S33" i="2"/>
  <c r="T33" i="2"/>
  <c r="R34" i="2"/>
  <c r="R32" i="2" s="1"/>
  <c r="S34" i="2"/>
  <c r="S32" i="2" s="1"/>
  <c r="T34" i="2"/>
  <c r="T32" i="2" s="1"/>
  <c r="R19" i="2"/>
  <c r="S19" i="2"/>
  <c r="T19" i="2"/>
  <c r="R8" i="2"/>
  <c r="S8" i="2"/>
  <c r="T8" i="2"/>
  <c r="L11" i="6"/>
  <c r="L10" i="6"/>
  <c r="L9" i="6"/>
  <c r="L8" i="6"/>
  <c r="L7" i="6"/>
  <c r="L6" i="6"/>
  <c r="L5" i="6"/>
  <c r="L4" i="6"/>
  <c r="L3" i="6"/>
  <c r="L2" i="6"/>
  <c r="O46" i="2"/>
  <c r="P46" i="2"/>
  <c r="O42" i="2"/>
  <c r="P42" i="2"/>
  <c r="O39" i="2"/>
  <c r="P39" i="2"/>
  <c r="O40" i="2"/>
  <c r="P40" i="2"/>
  <c r="O33" i="2"/>
  <c r="P33" i="2"/>
  <c r="O34" i="2"/>
  <c r="P34" i="2"/>
  <c r="P19" i="2"/>
  <c r="O19" i="2"/>
  <c r="P8" i="2"/>
  <c r="O8" i="2"/>
  <c r="D40" i="2"/>
  <c r="C40" i="2"/>
  <c r="V48" i="2"/>
  <c r="V47" i="2"/>
  <c r="W47" i="2" s="1"/>
  <c r="V44" i="2"/>
  <c r="V43" i="2"/>
  <c r="W43" i="2" s="1"/>
  <c r="W48" i="2"/>
  <c r="W44" i="2"/>
  <c r="Q42" i="2"/>
  <c r="N42" i="2"/>
  <c r="M42" i="2"/>
  <c r="L42" i="2"/>
  <c r="K42" i="2"/>
  <c r="J42" i="2"/>
  <c r="I42" i="2"/>
  <c r="H42" i="2"/>
  <c r="I46" i="2"/>
  <c r="J46" i="2"/>
  <c r="K46" i="2"/>
  <c r="L46" i="2"/>
  <c r="M46" i="2"/>
  <c r="N46" i="2"/>
  <c r="Q46" i="2"/>
  <c r="H46" i="2"/>
  <c r="Q40" i="2"/>
  <c r="N40" i="2"/>
  <c r="M40" i="2"/>
  <c r="L40" i="2"/>
  <c r="K40" i="2"/>
  <c r="J40" i="2"/>
  <c r="I40" i="2"/>
  <c r="H40" i="2"/>
  <c r="C48" i="2" s="1"/>
  <c r="Q39" i="2"/>
  <c r="N39" i="2"/>
  <c r="M39" i="2"/>
  <c r="L39" i="2"/>
  <c r="K39" i="2"/>
  <c r="J39" i="2"/>
  <c r="I39" i="2"/>
  <c r="H39" i="2"/>
  <c r="J33" i="2"/>
  <c r="K33" i="2"/>
  <c r="L33" i="2"/>
  <c r="M33" i="2"/>
  <c r="N33" i="2"/>
  <c r="Q33" i="2"/>
  <c r="I33" i="2"/>
  <c r="G8" i="2"/>
  <c r="G19" i="2"/>
  <c r="G6" i="2" s="1"/>
  <c r="H19" i="2"/>
  <c r="V21" i="2"/>
  <c r="W21" i="2"/>
  <c r="V22" i="2"/>
  <c r="W22" i="2"/>
  <c r="V23" i="2"/>
  <c r="W23" i="2"/>
  <c r="V24" i="2"/>
  <c r="W24" i="2"/>
  <c r="V25" i="2"/>
  <c r="W25" i="2"/>
  <c r="V26" i="2"/>
  <c r="W26" i="2"/>
  <c r="W20" i="2"/>
  <c r="V20" i="2"/>
  <c r="V10" i="2"/>
  <c r="W10" i="2"/>
  <c r="V11" i="2"/>
  <c r="W11" i="2"/>
  <c r="V12" i="2"/>
  <c r="W12" i="2"/>
  <c r="V13" i="2"/>
  <c r="W13" i="2"/>
  <c r="V14" i="2"/>
  <c r="W14" i="2"/>
  <c r="V15" i="2"/>
  <c r="W15" i="2"/>
  <c r="V17" i="2"/>
  <c r="W17" i="2"/>
  <c r="W9" i="2"/>
  <c r="V9" i="2"/>
  <c r="K8" i="2"/>
  <c r="L8" i="2"/>
  <c r="M8" i="2"/>
  <c r="N8" i="2"/>
  <c r="Q8" i="2"/>
  <c r="J8" i="2"/>
  <c r="Q19" i="2"/>
  <c r="T6" i="2" l="1"/>
  <c r="T28" i="2" s="1"/>
  <c r="R6" i="2"/>
  <c r="R30" i="2" s="1"/>
  <c r="T38" i="2"/>
  <c r="S38" i="2"/>
  <c r="S6" i="2"/>
  <c r="O32" i="2"/>
  <c r="P32" i="2"/>
  <c r="O38" i="2"/>
  <c r="P38" i="2"/>
  <c r="O6" i="2"/>
  <c r="P6" i="2"/>
  <c r="I38" i="2"/>
  <c r="J38" i="2"/>
  <c r="L38" i="2"/>
  <c r="M38" i="2"/>
  <c r="N38" i="2"/>
  <c r="V46" i="2"/>
  <c r="W46" i="2" s="1"/>
  <c r="K38" i="2"/>
  <c r="V42" i="2"/>
  <c r="W42" i="2" s="1"/>
  <c r="Q38" i="2"/>
  <c r="V39" i="2"/>
  <c r="W39" i="2" s="1"/>
  <c r="C44" i="2"/>
  <c r="H38" i="2"/>
  <c r="D44" i="2"/>
  <c r="V40" i="2"/>
  <c r="W40" i="2" s="1"/>
  <c r="D48" i="2"/>
  <c r="G28" i="2"/>
  <c r="G30" i="2"/>
  <c r="L34" i="2"/>
  <c r="L32" i="2" s="1"/>
  <c r="K34" i="2"/>
  <c r="K32" i="2" s="1"/>
  <c r="N34" i="2"/>
  <c r="N32" i="2" s="1"/>
  <c r="M34" i="2"/>
  <c r="M32" i="2" s="1"/>
  <c r="Q34" i="2"/>
  <c r="Q32" i="2" s="1"/>
  <c r="J34" i="2"/>
  <c r="J32" i="2" s="1"/>
  <c r="I34" i="2"/>
  <c r="I32" i="2" s="1"/>
  <c r="Q6" i="2"/>
  <c r="T30" i="2" l="1"/>
  <c r="S28" i="2"/>
  <c r="S30" i="2"/>
  <c r="R28" i="2"/>
  <c r="P30" i="2"/>
  <c r="P28" i="2"/>
  <c r="O30" i="2"/>
  <c r="O28" i="2"/>
  <c r="V38" i="2"/>
  <c r="W38" i="2" s="1"/>
  <c r="Q30" i="2"/>
  <c r="Q28" i="2"/>
  <c r="D15" i="1"/>
  <c r="D14" i="1"/>
  <c r="D13" i="1"/>
  <c r="D12" i="1"/>
  <c r="D11" i="1"/>
  <c r="D10" i="1"/>
  <c r="H7" i="5"/>
  <c r="I3" i="5"/>
  <c r="I4" i="5"/>
  <c r="I5" i="5"/>
  <c r="I6" i="5"/>
  <c r="C7" i="5"/>
  <c r="B7" i="5"/>
  <c r="D6" i="5"/>
  <c r="D5" i="5"/>
  <c r="D4" i="5"/>
  <c r="D3" i="5"/>
  <c r="I2" i="5"/>
  <c r="D2" i="5"/>
  <c r="D15" i="5"/>
  <c r="D14" i="5"/>
  <c r="D13" i="5"/>
  <c r="D12" i="5"/>
  <c r="D11" i="5"/>
  <c r="D10" i="5"/>
  <c r="D24" i="1"/>
  <c r="D18" i="1" s="1"/>
  <c r="E24" i="1"/>
  <c r="E18" i="1" s="1"/>
  <c r="D25" i="1"/>
  <c r="D19" i="1" s="1"/>
  <c r="E25" i="1"/>
  <c r="E19" i="1" s="1"/>
  <c r="C25" i="1"/>
  <c r="C19" i="1" s="1"/>
  <c r="C24" i="1"/>
  <c r="C18" i="1" s="1"/>
  <c r="I7" i="5" l="1"/>
  <c r="D7" i="5"/>
  <c r="E6" i="1" l="1"/>
  <c r="D6" i="1"/>
  <c r="I19" i="2"/>
  <c r="K19" i="2"/>
  <c r="L19" i="2"/>
  <c r="M19" i="2"/>
  <c r="N19" i="2"/>
  <c r="J19" i="2"/>
  <c r="I4" i="1" l="1"/>
  <c r="I3" i="1"/>
  <c r="H6" i="1"/>
  <c r="G6" i="1"/>
  <c r="M6" i="2"/>
  <c r="L6" i="2"/>
  <c r="N6" i="2"/>
  <c r="K6" i="2"/>
  <c r="J6" i="2"/>
  <c r="N28" i="2" l="1"/>
  <c r="N30" i="2"/>
  <c r="L28" i="2"/>
  <c r="L30" i="2"/>
  <c r="M28" i="2"/>
  <c r="M30" i="2"/>
  <c r="J28" i="2"/>
  <c r="J30" i="2"/>
  <c r="K28" i="2"/>
  <c r="K30" i="2"/>
  <c r="I5" i="1"/>
  <c r="B6" i="1"/>
  <c r="C6" i="1"/>
  <c r="I6" i="1" s="1"/>
  <c r="H8" i="2" l="1"/>
  <c r="I8" i="2"/>
  <c r="I6" i="2" l="1"/>
  <c r="H6" i="2"/>
  <c r="I28" i="2" l="1"/>
  <c r="I30" i="2"/>
  <c r="H28" i="2"/>
  <c r="H30" i="2"/>
</calcChain>
</file>

<file path=xl/sharedStrings.xml><?xml version="1.0" encoding="utf-8"?>
<sst xmlns="http://schemas.openxmlformats.org/spreadsheetml/2006/main" count="4392" uniqueCount="173">
  <si>
    <t>See Breeze</t>
  </si>
  <si>
    <t>Population</t>
  </si>
  <si>
    <t>Red</t>
  </si>
  <si>
    <t>Green</t>
  </si>
  <si>
    <t>Purple</t>
  </si>
  <si>
    <t>Gənclik - Badamdar (yellow)</t>
  </si>
  <si>
    <t>Badamdar - Bayıl</t>
  </si>
  <si>
    <t>S2</t>
  </si>
  <si>
    <t>S3</t>
  </si>
  <si>
    <t>S4</t>
  </si>
  <si>
    <t>S5</t>
  </si>
  <si>
    <t>S6</t>
  </si>
  <si>
    <t>Dərnagül - Koroğlu - Y23 (green)</t>
  </si>
  <si>
    <t>Interval</t>
  </si>
  <si>
    <t>Y22 - Y18 (green)</t>
  </si>
  <si>
    <t>28 May to Bayıl (blue)</t>
  </si>
  <si>
    <t>Azadlıq (green)</t>
  </si>
  <si>
    <t>Mehd - 8 Noyabr - 28 May (brown)</t>
  </si>
  <si>
    <t>New Road - Həzi Aslanov (yellow)</t>
  </si>
  <si>
    <t>See Breeze (orange)</t>
  </si>
  <si>
    <t>New road (Mehd - 8 Noyabr)</t>
  </si>
  <si>
    <t>Current</t>
  </si>
  <si>
    <t>+10 st.</t>
  </si>
  <si>
    <t>Metro stations</t>
  </si>
  <si>
    <t>Stations</t>
  </si>
  <si>
    <t>Green (current stations)</t>
  </si>
  <si>
    <t>Purple (current stations)</t>
  </si>
  <si>
    <t>Ağ səhər (new road - H.Aslanov)</t>
  </si>
  <si>
    <t>M1</t>
  </si>
  <si>
    <t>M2</t>
  </si>
  <si>
    <t>M3</t>
  </si>
  <si>
    <t>T1</t>
  </si>
  <si>
    <t>T2</t>
  </si>
  <si>
    <t>T3</t>
  </si>
  <si>
    <t>T4</t>
  </si>
  <si>
    <t>T5</t>
  </si>
  <si>
    <t>M4</t>
  </si>
  <si>
    <t>CC</t>
  </si>
  <si>
    <t>M5</t>
  </si>
  <si>
    <t>M6</t>
  </si>
  <si>
    <t>M7</t>
  </si>
  <si>
    <t>T6</t>
  </si>
  <si>
    <t>+M4</t>
  </si>
  <si>
    <t>+CC</t>
  </si>
  <si>
    <t>Length</t>
  </si>
  <si>
    <t>Green (4 new stations)</t>
  </si>
  <si>
    <t>Purple (6 new stations)</t>
  </si>
  <si>
    <t>+M5</t>
  </si>
  <si>
    <t>+M6</t>
  </si>
  <si>
    <t>+M7</t>
  </si>
  <si>
    <t>S1 Base</t>
  </si>
  <si>
    <t>S7</t>
  </si>
  <si>
    <t>Bulvar East (pink)</t>
  </si>
  <si>
    <t>Bayıl</t>
  </si>
  <si>
    <t>Rides/km</t>
  </si>
  <si>
    <t>Azadlıq Mehdiabad</t>
  </si>
  <si>
    <t>Metro 30</t>
  </si>
  <si>
    <t>+T2-T6</t>
  </si>
  <si>
    <t>+T2-T5</t>
  </si>
  <si>
    <t>Trains</t>
  </si>
  <si>
    <t>Baku Centre</t>
  </si>
  <si>
    <t>Including CF Impact</t>
  </si>
  <si>
    <t>Abşeron</t>
  </si>
  <si>
    <t>20s</t>
  </si>
  <si>
    <t>Rides/st</t>
  </si>
  <si>
    <t>B9 - B12 (purple)</t>
  </si>
  <si>
    <t>+M4-M8</t>
  </si>
  <si>
    <t>M8-</t>
  </si>
  <si>
    <t>M8+</t>
  </si>
  <si>
    <t>B1 - Xırdalan on MT (purple)</t>
  </si>
  <si>
    <t>B1 - Xırdalan inside (purple)</t>
  </si>
  <si>
    <t>Average Travel Time</t>
  </si>
  <si>
    <t>Car Passenger</t>
  </si>
  <si>
    <t>Taxi Passenger</t>
  </si>
  <si>
    <t>Average transfers per user</t>
  </si>
  <si>
    <t>Transfer within system</t>
  </si>
  <si>
    <t>PrT change (to S1)</t>
  </si>
  <si>
    <t>Total hours daily</t>
  </si>
  <si>
    <t>Total users</t>
  </si>
  <si>
    <t>Average Travel Time PuT</t>
  </si>
  <si>
    <t>Total hours daily PuT</t>
  </si>
  <si>
    <t>Total users PuT</t>
  </si>
  <si>
    <t>Average Travel Time PrT</t>
  </si>
  <si>
    <t>Total hours daily PrT</t>
  </si>
  <si>
    <t>Total users PrT</t>
  </si>
  <si>
    <t>PrT share in increase</t>
  </si>
  <si>
    <t>Modal Split</t>
  </si>
  <si>
    <t>S10 Max</t>
  </si>
  <si>
    <t>S8</t>
  </si>
  <si>
    <t>S9</t>
  </si>
  <si>
    <t>+M8-</t>
  </si>
  <si>
    <t>+M8+</t>
  </si>
  <si>
    <t>Users increase (to S1)</t>
  </si>
  <si>
    <t>Total Metro Checkins</t>
  </si>
  <si>
    <t>Total Tram Checkins</t>
  </si>
  <si>
    <t>Individual metro-tram Users</t>
  </si>
  <si>
    <t>Total Metro + Tram Checkins</t>
  </si>
  <si>
    <t>Checkins</t>
  </si>
  <si>
    <t>Checkins / trains</t>
  </si>
  <si>
    <t>Scenario</t>
  </si>
  <si>
    <t>Red Line</t>
  </si>
  <si>
    <t>Green Line</t>
  </si>
  <si>
    <t>Purple Line</t>
  </si>
  <si>
    <t>Metro line 8 Xırdalan</t>
  </si>
  <si>
    <t>Yellow Line</t>
  </si>
  <si>
    <t>T1 &amp;T5 Azadlıq (green)</t>
  </si>
  <si>
    <t>T2 28 May to Bayıl (blue)</t>
  </si>
  <si>
    <t>T3 New Road - Həzi Aslanov (yellow)</t>
  </si>
  <si>
    <t>T4 Mehd - 8 Noyabr - 28 May (brown)</t>
  </si>
  <si>
    <t>T6 Bulvar East (pink)</t>
  </si>
  <si>
    <t>Total</t>
  </si>
  <si>
    <t>From Station</t>
  </si>
  <si>
    <t>From Meso Zone</t>
  </si>
  <si>
    <t>To Meso Zone</t>
  </si>
  <si>
    <t>Trips</t>
  </si>
  <si>
    <t>Y-1</t>
  </si>
  <si>
    <t>Y-2</t>
  </si>
  <si>
    <t>Y-3</t>
  </si>
  <si>
    <t>Y-23</t>
  </si>
  <si>
    <t>Bakıxanov</t>
  </si>
  <si>
    <t>20 Yanvar</t>
  </si>
  <si>
    <t>Mehdiabad, Fatmayı, Digah</t>
  </si>
  <si>
    <t>Xutor, 6, 9 Mikrorayon</t>
  </si>
  <si>
    <t>Qara Qarayev</t>
  </si>
  <si>
    <t>Sabunçu</t>
  </si>
  <si>
    <t>Ulduz, Keşlə, Sənaye zonası</t>
  </si>
  <si>
    <t>Yasamal</t>
  </si>
  <si>
    <t>Dərnəgül, 7, 8 mikrorayon</t>
  </si>
  <si>
    <t>Neftçilər</t>
  </si>
  <si>
    <t>Mərkəz</t>
  </si>
  <si>
    <t>Binəqədi</t>
  </si>
  <si>
    <t>Zabrat, Balaxanı</t>
  </si>
  <si>
    <t>Əhmədli, Günəşli, Zığ</t>
  </si>
  <si>
    <t>Biləcəri</t>
  </si>
  <si>
    <t>Digər</t>
  </si>
  <si>
    <t>Rəsulzadə</t>
  </si>
  <si>
    <t>Dərnəgül Şərq</t>
  </si>
  <si>
    <t>Nərimanov</t>
  </si>
  <si>
    <t>Suraxanı, Əmircan</t>
  </si>
  <si>
    <t>Pirşağı, Görədil</t>
  </si>
  <si>
    <t>Maştaga, Nardaran, Bilgəh</t>
  </si>
  <si>
    <t>Keşlə, NZS</t>
  </si>
  <si>
    <t>Aşağı Güzdək, Müşviqabad</t>
  </si>
  <si>
    <t>Sumqayıt</t>
  </si>
  <si>
    <t>Gənclik</t>
  </si>
  <si>
    <t>Badamdar</t>
  </si>
  <si>
    <t>Masazır</t>
  </si>
  <si>
    <t>Koroğlu, Böyükşor</t>
  </si>
  <si>
    <t>Ramana</t>
  </si>
  <si>
    <t>Binə</t>
  </si>
  <si>
    <t>Sea Breeze</t>
  </si>
  <si>
    <t>Ceyranbatan</t>
  </si>
  <si>
    <t>Xırdalan</t>
  </si>
  <si>
    <t>Corat</t>
  </si>
  <si>
    <t>Sulutəpə, Xocəsən</t>
  </si>
  <si>
    <t>Saray</t>
  </si>
  <si>
    <t>Novxanı</t>
  </si>
  <si>
    <t>Səbail, Şıxov</t>
  </si>
  <si>
    <t>Lökbatan, Heybət</t>
  </si>
  <si>
    <t>Mərdəkan, Şüvəlan, Buzovna</t>
  </si>
  <si>
    <t>Güzdək</t>
  </si>
  <si>
    <t>Hökməli, Qobu</t>
  </si>
  <si>
    <t>Hacı Zeynalabdin Tağıyev</t>
  </si>
  <si>
    <t>Hövsan</t>
  </si>
  <si>
    <t>Kurdəxanı, Məmmədli</t>
  </si>
  <si>
    <t>Çeyildağ</t>
  </si>
  <si>
    <t>Qobustan, Səngəçal</t>
  </si>
  <si>
    <t>Sahil</t>
  </si>
  <si>
    <t>Ələt</t>
  </si>
  <si>
    <t>Qala</t>
  </si>
  <si>
    <t>Türkan</t>
  </si>
  <si>
    <t>Zirə</t>
  </si>
  <si>
    <t>Pirallahı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</si>
</sst>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#,##0.0"/>
    <numFmt numFmtId="166" formatCode="h:mm:ss;@"/>
    <numFmt numFmtId="167" formatCode="0.0%"/>
    <numFmt numFmtId="168" formatCode="_(* #,##0_);_(* \(#,##0\);_(* &quot;-&quot;??_);_(@_)"/>
    <numFmt numFmtId="169" formatCode="_(* #,##0.0_);_(* \(#,##0.0\);_(* &quot;-&quot;??_);_(@_)"/>
  </numFmts>
  <fonts count="13" x14ac:knownFonts="1">
    <font>
      <sz val="11"/>
      <color theme="1"/>
      <name val="Arial Narrow"/>
      <family val="2"/>
      <charset val="204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rgb="FFFF0000"/>
      <name val="Arial Narrow"/>
      <family val="2"/>
      <charset val="204"/>
      <scheme val="minor"/>
    </font>
    <font>
      <b/>
      <sz val="11"/>
      <color theme="1"/>
      <name val="Arial Narrow"/>
      <family val="2"/>
      <scheme val="minor"/>
    </font>
    <font>
      <sz val="8"/>
      <name val="Arial Narrow"/>
      <family val="2"/>
      <charset val="204"/>
      <scheme val="minor"/>
    </font>
    <font>
      <sz val="11"/>
      <color theme="1"/>
      <name val="Arial Narrow"/>
      <family val="2"/>
      <charset val="204"/>
      <scheme val="minor"/>
    </font>
    <font>
      <sz val="11"/>
      <name val="Arial Narrow"/>
      <family val="2"/>
      <charset val="204"/>
      <scheme val="minor"/>
    </font>
    <font>
      <sz val="11"/>
      <color theme="1"/>
      <name val="Arial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name val="Arial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4" fillId="0" borderId="0" xfId="0" applyFont="1"/>
    <xf numFmtId="3" fontId="0" fillId="3" borderId="0" xfId="0" applyNumberFormat="1" applyFill="1"/>
    <xf numFmtId="3" fontId="0" fillId="0" borderId="0" xfId="0" applyNumberFormat="1"/>
    <xf numFmtId="3" fontId="3" fillId="0" borderId="0" xfId="0" applyNumberFormat="1" applyFont="1"/>
    <xf numFmtId="3" fontId="4" fillId="3" borderId="0" xfId="0" applyNumberFormat="1" applyFont="1" applyFill="1"/>
    <xf numFmtId="1" fontId="0" fillId="0" borderId="0" xfId="0" applyNumberFormat="1"/>
    <xf numFmtId="3" fontId="4" fillId="0" borderId="0" xfId="0" applyNumberFormat="1" applyFont="1"/>
    <xf numFmtId="1" fontId="4" fillId="0" borderId="0" xfId="0" applyNumberFormat="1" applyFont="1"/>
    <xf numFmtId="0" fontId="0" fillId="0" borderId="0" xfId="0" applyAlignment="1">
      <alignment horizontal="left" indent="1"/>
    </xf>
    <xf numFmtId="3" fontId="4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0" fontId="0" fillId="5" borderId="0" xfId="0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0" fontId="0" fillId="0" borderId="0" xfId="0" quotePrefix="1"/>
    <xf numFmtId="9" fontId="0" fillId="0" borderId="0" xfId="1" applyFont="1"/>
    <xf numFmtId="164" fontId="0" fillId="0" borderId="0" xfId="0" applyNumberFormat="1"/>
    <xf numFmtId="3" fontId="0" fillId="2" borderId="0" xfId="0" applyNumberFormat="1" applyFill="1"/>
    <xf numFmtId="9" fontId="4" fillId="0" borderId="0" xfId="1" applyFont="1"/>
    <xf numFmtId="1" fontId="0" fillId="0" borderId="0" xfId="0" quotePrefix="1" applyNumberFormat="1"/>
    <xf numFmtId="3" fontId="0" fillId="0" borderId="0" xfId="0" quotePrefix="1" applyNumberFormat="1"/>
    <xf numFmtId="3" fontId="8" fillId="0" borderId="0" xfId="0" applyNumberFormat="1" applyFont="1"/>
    <xf numFmtId="3" fontId="7" fillId="2" borderId="0" xfId="0" applyNumberFormat="1" applyFont="1" applyFill="1"/>
    <xf numFmtId="165" fontId="3" fillId="5" borderId="0" xfId="0" applyNumberFormat="1" applyFont="1" applyFill="1"/>
    <xf numFmtId="3" fontId="3" fillId="5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1"/>
    </xf>
    <xf numFmtId="3" fontId="8" fillId="7" borderId="0" xfId="0" applyNumberFormat="1" applyFont="1" applyFill="1"/>
    <xf numFmtId="3" fontId="0" fillId="3" borderId="0" xfId="0" applyNumberFormat="1" applyFill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165" fontId="0" fillId="0" borderId="0" xfId="0" applyNumberFormat="1"/>
    <xf numFmtId="3" fontId="2" fillId="0" borderId="0" xfId="0" applyNumberFormat="1" applyFont="1"/>
    <xf numFmtId="166" fontId="9" fillId="0" borderId="0" xfId="0" applyNumberFormat="1" applyFont="1"/>
    <xf numFmtId="0" fontId="11" fillId="0" borderId="0" xfId="0" applyFont="1" applyAlignment="1">
      <alignment horizontal="left" indent="1"/>
    </xf>
    <xf numFmtId="3" fontId="12" fillId="3" borderId="0" xfId="0" applyNumberFormat="1" applyFont="1" applyFill="1"/>
    <xf numFmtId="3" fontId="11" fillId="3" borderId="0" xfId="0" applyNumberFormat="1" applyFont="1" applyFill="1"/>
    <xf numFmtId="167" fontId="0" fillId="0" borderId="0" xfId="0" applyNumberFormat="1"/>
    <xf numFmtId="167" fontId="0" fillId="0" borderId="0" xfId="1" applyNumberFormat="1" applyFont="1"/>
    <xf numFmtId="0" fontId="4" fillId="4" borderId="0" xfId="0" applyFont="1" applyFill="1"/>
    <xf numFmtId="0" fontId="4" fillId="8" borderId="0" xfId="0" applyFont="1" applyFill="1"/>
    <xf numFmtId="37" fontId="0" fillId="0" borderId="0" xfId="4" applyNumberFormat="1" applyFont="1" applyAlignment="1">
      <alignment horizontal="right"/>
    </xf>
    <xf numFmtId="37" fontId="0" fillId="0" borderId="0" xfId="4" applyNumberFormat="1" applyFont="1" applyAlignment="1">
      <alignment horizontal="left"/>
    </xf>
    <xf numFmtId="37" fontId="4" fillId="0" borderId="0" xfId="0" applyNumberFormat="1" applyFont="1"/>
    <xf numFmtId="37" fontId="0" fillId="0" borderId="0" xfId="4" applyNumberFormat="1" applyFont="1"/>
    <xf numFmtId="168" fontId="0" fillId="0" borderId="0" xfId="4" applyNumberFormat="1" applyFont="1"/>
    <xf numFmtId="168" fontId="0" fillId="0" borderId="0" xfId="0" applyNumberFormat="1"/>
    <xf numFmtId="9" fontId="0" fillId="6" borderId="0" xfId="0" applyNumberFormat="1" applyFill="1" applyAlignment="1">
      <alignment horizontal="center"/>
    </xf>
    <xf numFmtId="0" fontId="9" fillId="0" borderId="0" xfId="5" applyFont="1" applyAlignment="1">
      <alignment horizontal="center"/>
    </xf>
    <xf numFmtId="169" fontId="9" fillId="0" borderId="0" xfId="6" applyNumberFormat="1" applyFont="1" applyAlignment="1">
      <alignment horizontal="center"/>
    </xf>
    <xf numFmtId="0" fontId="10" fillId="0" borderId="0" xfId="5" applyFont="1"/>
    <xf numFmtId="169" fontId="10" fillId="0" borderId="0" xfId="6" applyNumberFormat="1" applyFont="1"/>
  </cellXfs>
  <cellStyles count="7">
    <cellStyle name="Comma" xfId="4" builtinId="3"/>
    <cellStyle name="Comma 2" xfId="3" xr:uid="{EDD7776D-3EC1-4AB1-A4C0-BBE61F1CAF5B}"/>
    <cellStyle name="Comma 3" xfId="6" xr:uid="{2E57B6DD-8B94-40EB-9DC3-FEED6E66AD19}"/>
    <cellStyle name="Normal" xfId="0" builtinId="0"/>
    <cellStyle name="Normal 2" xfId="2" xr:uid="{A2A67522-230F-4843-B2C9-6618B345EDA4}"/>
    <cellStyle name="Normal 3" xfId="5" xr:uid="{8D0F34D9-69C1-4AF7-9FC2-9E73BBF8E730}"/>
    <cellStyle name="Percent" xfId="1" builtinId="5"/>
  </cellStyles>
  <dxfs count="114"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AYNA">
      <a:dk1>
        <a:sysClr val="windowText" lastClr="000000"/>
      </a:dk1>
      <a:lt1>
        <a:sysClr val="window" lastClr="FFFFFF"/>
      </a:lt1>
      <a:dk2>
        <a:srgbClr val="00659D"/>
      </a:dk2>
      <a:lt2>
        <a:srgbClr val="C0C0C0"/>
      </a:lt2>
      <a:accent1>
        <a:srgbClr val="005487"/>
      </a:accent1>
      <a:accent2>
        <a:srgbClr val="007FFF"/>
      </a:accent2>
      <a:accent3>
        <a:srgbClr val="B6F2FF"/>
      </a:accent3>
      <a:accent4>
        <a:srgbClr val="CD7F32"/>
      </a:accent4>
      <a:accent5>
        <a:srgbClr val="FFD700"/>
      </a:accent5>
      <a:accent6>
        <a:srgbClr val="3FC380"/>
      </a:accent6>
      <a:hlink>
        <a:srgbClr val="00659D"/>
      </a:hlink>
      <a:folHlink>
        <a:srgbClr val="436CB9"/>
      </a:folHlink>
    </a:clrScheme>
    <a:fontScheme name="Arial Narrow">
      <a:majorFont>
        <a:latin typeface="Arial Narrow"/>
        <a:ea typeface=""/>
        <a:cs typeface=""/>
      </a:majorFont>
      <a:minorFont>
        <a:latin typeface="Arial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2E7E-70E3-4648-A81A-7BEA3EA30C5B}">
  <sheetPr>
    <pageSetUpPr fitToPage="1"/>
  </sheetPr>
  <dimension ref="A1:AE50"/>
  <sheetViews>
    <sheetView zoomScaleNormal="100" zoomScaleSheetLayoutView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4" sqref="O14"/>
    </sheetView>
  </sheetViews>
  <sheetFormatPr defaultRowHeight="13.8" x14ac:dyDescent="0.25"/>
  <cols>
    <col min="1" max="1" width="4.625" customWidth="1"/>
    <col min="2" max="2" width="30.625" customWidth="1"/>
    <col min="3" max="5" width="7.625" style="5" customWidth="1"/>
    <col min="6" max="6" width="3.625" style="5" customWidth="1"/>
    <col min="7" max="9" width="11.125" style="5" customWidth="1"/>
    <col min="10" max="20" width="11.125" customWidth="1"/>
    <col min="21" max="21" width="3.625" style="5" customWidth="1"/>
    <col min="22" max="23" width="11.125" customWidth="1"/>
    <col min="27" max="27" width="9" customWidth="1"/>
  </cols>
  <sheetData>
    <row r="1" spans="1:25" x14ac:dyDescent="0.25">
      <c r="F1" s="8"/>
      <c r="G1" s="2" t="s">
        <v>21</v>
      </c>
      <c r="H1" s="2" t="s">
        <v>50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51</v>
      </c>
      <c r="O1" s="2" t="s">
        <v>88</v>
      </c>
      <c r="P1" s="2" t="s">
        <v>89</v>
      </c>
      <c r="Q1" s="2" t="s">
        <v>87</v>
      </c>
      <c r="R1" s="50">
        <v>0.1</v>
      </c>
      <c r="S1" s="50">
        <v>0.3</v>
      </c>
      <c r="T1" s="50">
        <v>0.5</v>
      </c>
      <c r="U1" s="8"/>
      <c r="V1" s="9" t="s">
        <v>64</v>
      </c>
      <c r="W1" s="9" t="s">
        <v>54</v>
      </c>
    </row>
    <row r="2" spans="1:25" x14ac:dyDescent="0.25">
      <c r="C2" s="8"/>
      <c r="D2" s="8"/>
      <c r="E2" s="8"/>
      <c r="F2" s="8"/>
      <c r="G2" s="8"/>
      <c r="H2" s="8" t="s">
        <v>56</v>
      </c>
      <c r="I2" s="22" t="s">
        <v>57</v>
      </c>
      <c r="J2" s="22" t="s">
        <v>58</v>
      </c>
      <c r="K2" s="17" t="s">
        <v>42</v>
      </c>
      <c r="L2" s="17" t="s">
        <v>47</v>
      </c>
      <c r="M2" s="17" t="s">
        <v>47</v>
      </c>
      <c r="N2" s="17" t="s">
        <v>49</v>
      </c>
      <c r="O2" s="17" t="s">
        <v>90</v>
      </c>
      <c r="P2" s="17" t="s">
        <v>91</v>
      </c>
      <c r="Q2" s="23" t="s">
        <v>66</v>
      </c>
      <c r="R2" s="23" t="s">
        <v>66</v>
      </c>
      <c r="S2" s="23" t="s">
        <v>66</v>
      </c>
      <c r="T2" s="23" t="s">
        <v>66</v>
      </c>
      <c r="U2" s="8"/>
    </row>
    <row r="3" spans="1:25" x14ac:dyDescent="0.25">
      <c r="C3" s="8"/>
      <c r="D3" s="8"/>
      <c r="E3" s="8"/>
      <c r="F3" s="8"/>
      <c r="G3" s="8"/>
      <c r="H3" s="8" t="s">
        <v>31</v>
      </c>
      <c r="I3" s="8"/>
      <c r="J3" s="17" t="s">
        <v>43</v>
      </c>
      <c r="K3" s="17" t="s">
        <v>43</v>
      </c>
      <c r="M3" s="17" t="s">
        <v>48</v>
      </c>
      <c r="Q3" s="22" t="s">
        <v>57</v>
      </c>
      <c r="R3" s="22" t="s">
        <v>57</v>
      </c>
      <c r="S3" s="22" t="s">
        <v>57</v>
      </c>
      <c r="T3" s="22" t="s">
        <v>57</v>
      </c>
      <c r="U3" s="8"/>
    </row>
    <row r="4" spans="1:25" x14ac:dyDescent="0.25">
      <c r="C4" s="8"/>
      <c r="D4" s="8"/>
      <c r="E4" s="8"/>
      <c r="F4" s="8"/>
      <c r="G4" s="8"/>
      <c r="H4" s="8"/>
      <c r="I4" s="8"/>
      <c r="J4" s="17"/>
      <c r="K4" s="17"/>
      <c r="M4" s="17"/>
      <c r="Q4" s="17" t="s">
        <v>43</v>
      </c>
      <c r="R4" s="17" t="s">
        <v>43</v>
      </c>
      <c r="S4" s="17" t="s">
        <v>43</v>
      </c>
      <c r="T4" s="17" t="s">
        <v>43</v>
      </c>
      <c r="U4" s="8"/>
    </row>
    <row r="5" spans="1:25" x14ac:dyDescent="0.25">
      <c r="C5" s="8"/>
      <c r="D5" s="8"/>
      <c r="E5" s="8"/>
      <c r="F5" s="8"/>
      <c r="G5" s="8"/>
      <c r="H5" s="8"/>
      <c r="I5" s="8"/>
      <c r="J5" s="17"/>
      <c r="K5" s="17"/>
      <c r="M5" s="17"/>
      <c r="Q5" s="17"/>
      <c r="R5" s="17"/>
      <c r="S5" s="17"/>
      <c r="T5" s="17"/>
      <c r="U5" s="8"/>
    </row>
    <row r="6" spans="1:25" x14ac:dyDescent="0.25">
      <c r="B6" s="3" t="s">
        <v>96</v>
      </c>
      <c r="C6" s="9"/>
      <c r="D6" s="9"/>
      <c r="E6" s="9"/>
      <c r="F6" s="8"/>
      <c r="G6" s="9">
        <f>G8+G19</f>
        <v>834400</v>
      </c>
      <c r="H6" s="9">
        <f>H8+H19</f>
        <v>1351020</v>
      </c>
      <c r="I6" s="9">
        <f>I8+I19</f>
        <v>1558504</v>
      </c>
      <c r="J6" s="9">
        <f t="shared" ref="J6:P6" si="0">J8+J19</f>
        <v>1569760</v>
      </c>
      <c r="K6" s="9">
        <f t="shared" si="0"/>
        <v>1497254</v>
      </c>
      <c r="L6" s="9">
        <f t="shared" si="0"/>
        <v>1426023</v>
      </c>
      <c r="M6" s="9">
        <f t="shared" si="0"/>
        <v>1544366</v>
      </c>
      <c r="N6" s="9">
        <f t="shared" si="0"/>
        <v>1426501</v>
      </c>
      <c r="O6" s="9">
        <f t="shared" si="0"/>
        <v>1502429</v>
      </c>
      <c r="P6" s="9">
        <f t="shared" si="0"/>
        <v>1539150</v>
      </c>
      <c r="Q6" s="9">
        <f t="shared" ref="Q6:T6" si="1">Q8+Q19</f>
        <v>2025881</v>
      </c>
      <c r="R6" s="9">
        <f t="shared" si="1"/>
        <v>2032135</v>
      </c>
      <c r="S6" s="9">
        <f t="shared" si="1"/>
        <v>2045592</v>
      </c>
      <c r="T6" s="9">
        <f t="shared" si="1"/>
        <v>2059604</v>
      </c>
      <c r="U6" s="8"/>
    </row>
    <row r="7" spans="1:25" x14ac:dyDescent="0.25">
      <c r="J7" s="17"/>
    </row>
    <row r="8" spans="1:25" x14ac:dyDescent="0.25">
      <c r="B8" s="3" t="s">
        <v>93</v>
      </c>
      <c r="C8" s="24" t="s">
        <v>13</v>
      </c>
      <c r="D8" s="24" t="s">
        <v>24</v>
      </c>
      <c r="E8" s="24" t="s">
        <v>44</v>
      </c>
      <c r="F8" s="8"/>
      <c r="G8" s="9">
        <f>SUM(G9:G11)</f>
        <v>834400</v>
      </c>
      <c r="H8" s="9">
        <f>SUM(H9:H11)</f>
        <v>1238900</v>
      </c>
      <c r="I8" s="9">
        <f>SUM(I9:I11)</f>
        <v>1203276</v>
      </c>
      <c r="J8" s="9">
        <f>SUM(J9:J17)</f>
        <v>1209869</v>
      </c>
      <c r="K8" s="9">
        <f t="shared" ref="K8:Q8" si="2">SUM(K9:K17)</f>
        <v>1377404</v>
      </c>
      <c r="L8" s="9">
        <f t="shared" si="2"/>
        <v>1308390</v>
      </c>
      <c r="M8" s="9">
        <f t="shared" si="2"/>
        <v>1426600</v>
      </c>
      <c r="N8" s="9">
        <f t="shared" si="2"/>
        <v>1313041</v>
      </c>
      <c r="O8" s="9">
        <f t="shared" si="2"/>
        <v>1389659</v>
      </c>
      <c r="P8" s="9">
        <f t="shared" si="2"/>
        <v>1426860</v>
      </c>
      <c r="Q8" s="9">
        <f t="shared" si="2"/>
        <v>1673043</v>
      </c>
      <c r="R8" s="9">
        <f t="shared" ref="R8:T8" si="3">SUM(R9:R17)</f>
        <v>1678249</v>
      </c>
      <c r="S8" s="9">
        <f t="shared" si="3"/>
        <v>1689356</v>
      </c>
      <c r="T8" s="9">
        <f t="shared" si="3"/>
        <v>1701040</v>
      </c>
      <c r="U8" s="8"/>
      <c r="V8" s="9"/>
      <c r="W8" s="9"/>
    </row>
    <row r="9" spans="1:25" x14ac:dyDescent="0.25">
      <c r="A9" t="s">
        <v>28</v>
      </c>
      <c r="B9" s="14" t="s">
        <v>2</v>
      </c>
      <c r="C9" s="5">
        <v>2</v>
      </c>
      <c r="D9" s="5">
        <v>13</v>
      </c>
      <c r="E9" s="5">
        <v>18.2</v>
      </c>
      <c r="F9" s="8"/>
      <c r="G9" s="20">
        <v>248990</v>
      </c>
      <c r="H9" s="20">
        <v>521400</v>
      </c>
      <c r="I9" s="20">
        <v>510806</v>
      </c>
      <c r="J9" s="20">
        <v>511584</v>
      </c>
      <c r="K9" s="20">
        <v>524663</v>
      </c>
      <c r="L9" s="20">
        <v>523850</v>
      </c>
      <c r="M9" s="20">
        <v>513419</v>
      </c>
      <c r="N9" s="20">
        <v>530732</v>
      </c>
      <c r="O9" s="20">
        <v>540358</v>
      </c>
      <c r="P9" s="20">
        <v>541270</v>
      </c>
      <c r="Q9" s="20">
        <v>480209</v>
      </c>
      <c r="R9" s="20">
        <v>481670</v>
      </c>
      <c r="S9" s="20">
        <v>484668</v>
      </c>
      <c r="T9" s="20">
        <v>487839</v>
      </c>
      <c r="U9" s="8"/>
      <c r="V9" s="24">
        <f t="shared" ref="V9:W15" si="4">$Q9/D9</f>
        <v>36939.153846153844</v>
      </c>
      <c r="W9" s="24">
        <f t="shared" si="4"/>
        <v>26385.109890109892</v>
      </c>
    </row>
    <row r="10" spans="1:25" x14ac:dyDescent="0.25">
      <c r="A10" t="s">
        <v>29</v>
      </c>
      <c r="B10" s="15" t="s">
        <v>3</v>
      </c>
      <c r="C10" s="5">
        <v>2</v>
      </c>
      <c r="D10" s="5">
        <v>14</v>
      </c>
      <c r="E10" s="5">
        <v>22.2</v>
      </c>
      <c r="F10" s="8"/>
      <c r="G10" s="20">
        <v>544210</v>
      </c>
      <c r="H10" s="20">
        <v>439520</v>
      </c>
      <c r="I10" s="20">
        <v>426836</v>
      </c>
      <c r="J10" s="20">
        <v>431063</v>
      </c>
      <c r="K10" s="20">
        <v>462452</v>
      </c>
      <c r="L10" s="20">
        <v>468681</v>
      </c>
      <c r="M10" s="20">
        <v>525827</v>
      </c>
      <c r="N10" s="20">
        <v>450511</v>
      </c>
      <c r="O10" s="20">
        <v>457400</v>
      </c>
      <c r="P10" s="20">
        <v>461990</v>
      </c>
      <c r="Q10" s="20">
        <v>503207</v>
      </c>
      <c r="R10" s="20">
        <v>504764</v>
      </c>
      <c r="S10" s="20">
        <v>508055</v>
      </c>
      <c r="T10" s="20">
        <v>511425</v>
      </c>
      <c r="U10" s="8"/>
      <c r="V10" s="24">
        <f t="shared" si="4"/>
        <v>35943.357142857145</v>
      </c>
      <c r="W10" s="24">
        <f t="shared" si="4"/>
        <v>22666.981981981982</v>
      </c>
      <c r="Y10" s="5"/>
    </row>
    <row r="11" spans="1:25" x14ac:dyDescent="0.25">
      <c r="A11" t="s">
        <v>30</v>
      </c>
      <c r="B11" s="16" t="s">
        <v>4</v>
      </c>
      <c r="C11" s="5">
        <v>2</v>
      </c>
      <c r="D11" s="5">
        <v>10</v>
      </c>
      <c r="E11" s="5">
        <v>14.5</v>
      </c>
      <c r="F11" s="8"/>
      <c r="G11" s="20">
        <v>41200</v>
      </c>
      <c r="H11" s="20">
        <v>277980</v>
      </c>
      <c r="I11" s="20">
        <v>265634</v>
      </c>
      <c r="J11" s="20">
        <v>267222</v>
      </c>
      <c r="K11" s="20">
        <v>280959</v>
      </c>
      <c r="L11" s="20">
        <v>260927</v>
      </c>
      <c r="M11" s="20">
        <v>261816</v>
      </c>
      <c r="N11" s="20">
        <v>290042</v>
      </c>
      <c r="O11" s="20">
        <v>317950</v>
      </c>
      <c r="P11" s="20">
        <v>329930</v>
      </c>
      <c r="Q11" s="20">
        <v>315465</v>
      </c>
      <c r="R11" s="20">
        <v>316550</v>
      </c>
      <c r="S11" s="20">
        <v>318895</v>
      </c>
      <c r="T11" s="20">
        <v>321380</v>
      </c>
      <c r="U11" s="8"/>
      <c r="V11" s="24">
        <f t="shared" si="4"/>
        <v>31546.5</v>
      </c>
      <c r="W11" s="24">
        <f t="shared" si="4"/>
        <v>21756.206896551725</v>
      </c>
    </row>
    <row r="12" spans="1:25" x14ac:dyDescent="0.25">
      <c r="A12" t="s">
        <v>36</v>
      </c>
      <c r="B12" s="11" t="s">
        <v>5</v>
      </c>
      <c r="C12" s="31">
        <v>2</v>
      </c>
      <c r="D12" s="4">
        <v>9</v>
      </c>
      <c r="E12" s="4">
        <v>12</v>
      </c>
      <c r="F12" s="8"/>
      <c r="K12" s="4">
        <v>109330</v>
      </c>
      <c r="L12" s="1"/>
      <c r="Q12" s="4">
        <v>105550</v>
      </c>
      <c r="R12" s="4">
        <v>105934</v>
      </c>
      <c r="S12" s="4">
        <v>106677</v>
      </c>
      <c r="T12" s="4">
        <v>107476</v>
      </c>
      <c r="U12" s="8"/>
      <c r="V12" s="24">
        <f t="shared" si="4"/>
        <v>11727.777777777777</v>
      </c>
      <c r="W12" s="24">
        <f t="shared" si="4"/>
        <v>8795.8333333333339</v>
      </c>
    </row>
    <row r="13" spans="1:25" x14ac:dyDescent="0.25">
      <c r="A13" t="s">
        <v>38</v>
      </c>
      <c r="B13" s="11" t="s">
        <v>12</v>
      </c>
      <c r="C13" s="31">
        <v>2</v>
      </c>
      <c r="D13" s="4">
        <v>4</v>
      </c>
      <c r="E13" s="4">
        <v>7.2</v>
      </c>
      <c r="F13" s="8"/>
      <c r="L13" s="4">
        <v>54932</v>
      </c>
      <c r="M13" s="4">
        <v>62271</v>
      </c>
      <c r="Q13" s="4">
        <v>63092</v>
      </c>
      <c r="R13" s="4">
        <v>63258</v>
      </c>
      <c r="S13" s="4">
        <v>63632</v>
      </c>
      <c r="T13" s="4">
        <v>64036</v>
      </c>
      <c r="U13" s="8"/>
      <c r="V13" s="24">
        <f t="shared" si="4"/>
        <v>15773</v>
      </c>
      <c r="W13" s="24">
        <f t="shared" si="4"/>
        <v>8762.7777777777774</v>
      </c>
    </row>
    <row r="14" spans="1:25" x14ac:dyDescent="0.25">
      <c r="A14" t="s">
        <v>39</v>
      </c>
      <c r="B14" s="11" t="s">
        <v>14</v>
      </c>
      <c r="C14" s="31">
        <v>2</v>
      </c>
      <c r="D14" s="4">
        <v>5</v>
      </c>
      <c r="E14" s="4">
        <v>12.6</v>
      </c>
      <c r="F14" s="8"/>
      <c r="M14" s="4">
        <v>63267</v>
      </c>
      <c r="Q14" s="4">
        <v>72990</v>
      </c>
      <c r="R14" s="4">
        <v>73238</v>
      </c>
      <c r="S14" s="4">
        <v>73656</v>
      </c>
      <c r="T14" s="4">
        <v>74098</v>
      </c>
      <c r="U14" s="8"/>
      <c r="V14" s="24">
        <f t="shared" si="4"/>
        <v>14598</v>
      </c>
      <c r="W14" s="24">
        <f t="shared" si="4"/>
        <v>5792.8571428571431</v>
      </c>
    </row>
    <row r="15" spans="1:25" x14ac:dyDescent="0.25">
      <c r="A15" t="s">
        <v>40</v>
      </c>
      <c r="B15" s="11" t="s">
        <v>65</v>
      </c>
      <c r="C15" s="31">
        <v>2</v>
      </c>
      <c r="D15" s="4">
        <v>4</v>
      </c>
      <c r="E15" s="4">
        <v>7.7</v>
      </c>
      <c r="F15" s="8"/>
      <c r="M15" s="1"/>
      <c r="N15" s="4">
        <v>41756</v>
      </c>
      <c r="O15" s="5"/>
      <c r="P15" s="5"/>
      <c r="Q15" s="4">
        <v>39483</v>
      </c>
      <c r="R15" s="4">
        <v>39642</v>
      </c>
      <c r="S15" s="4">
        <v>39956</v>
      </c>
      <c r="T15" s="4">
        <v>40265</v>
      </c>
      <c r="U15" s="8"/>
      <c r="V15" s="24">
        <f t="shared" si="4"/>
        <v>9870.75</v>
      </c>
      <c r="W15" s="24">
        <f t="shared" si="4"/>
        <v>5127.6623376623374</v>
      </c>
    </row>
    <row r="16" spans="1:25" x14ac:dyDescent="0.25">
      <c r="A16" t="s">
        <v>67</v>
      </c>
      <c r="B16" s="11" t="s">
        <v>69</v>
      </c>
      <c r="C16" s="31">
        <v>2</v>
      </c>
      <c r="D16" s="4">
        <v>5</v>
      </c>
      <c r="E16" s="4">
        <v>8</v>
      </c>
      <c r="F16" s="8"/>
      <c r="O16" s="4">
        <v>73951</v>
      </c>
      <c r="U16" s="8"/>
      <c r="V16" s="24"/>
      <c r="W16" s="24"/>
    </row>
    <row r="17" spans="1:23" x14ac:dyDescent="0.25">
      <c r="A17" t="s">
        <v>68</v>
      </c>
      <c r="B17" s="11" t="s">
        <v>70</v>
      </c>
      <c r="C17" s="31">
        <v>2</v>
      </c>
      <c r="D17" s="4">
        <v>6</v>
      </c>
      <c r="E17" s="4">
        <v>8.8000000000000007</v>
      </c>
      <c r="F17" s="8"/>
      <c r="P17" s="4">
        <v>93670</v>
      </c>
      <c r="Q17" s="4">
        <v>93047</v>
      </c>
      <c r="R17" s="4">
        <v>93193</v>
      </c>
      <c r="S17" s="4">
        <v>93817</v>
      </c>
      <c r="T17" s="4">
        <v>94521</v>
      </c>
      <c r="U17" s="8"/>
      <c r="V17" s="24">
        <f>$Q17/D17</f>
        <v>15507.833333333334</v>
      </c>
      <c r="W17" s="24">
        <f>$Q17/E17</f>
        <v>10573.522727272726</v>
      </c>
    </row>
    <row r="18" spans="1:23" x14ac:dyDescent="0.25">
      <c r="F18" s="8"/>
      <c r="U18" s="8"/>
      <c r="V18" s="24"/>
      <c r="W18" s="24"/>
    </row>
    <row r="19" spans="1:23" x14ac:dyDescent="0.25">
      <c r="B19" s="3" t="s">
        <v>94</v>
      </c>
      <c r="C19" s="24" t="s">
        <v>13</v>
      </c>
      <c r="D19" s="24" t="s">
        <v>24</v>
      </c>
      <c r="E19" s="24" t="s">
        <v>44</v>
      </c>
      <c r="F19" s="8"/>
      <c r="G19" s="9">
        <f>SUM(G20:G26)</f>
        <v>0</v>
      </c>
      <c r="H19" s="9">
        <f>SUM(H20:H26)</f>
        <v>112120</v>
      </c>
      <c r="I19" s="9">
        <f>SUM(I20:I26)</f>
        <v>355228</v>
      </c>
      <c r="J19" s="9">
        <f t="shared" ref="J19:P19" si="5">SUM(J20:J26)</f>
        <v>359891</v>
      </c>
      <c r="K19" s="9">
        <f t="shared" si="5"/>
        <v>119850</v>
      </c>
      <c r="L19" s="9">
        <f t="shared" si="5"/>
        <v>117633</v>
      </c>
      <c r="M19" s="9">
        <f t="shared" si="5"/>
        <v>117766</v>
      </c>
      <c r="N19" s="9">
        <f t="shared" si="5"/>
        <v>113460</v>
      </c>
      <c r="O19" s="9">
        <f t="shared" si="5"/>
        <v>112770</v>
      </c>
      <c r="P19" s="9">
        <f t="shared" si="5"/>
        <v>112290</v>
      </c>
      <c r="Q19" s="9">
        <f t="shared" ref="Q19:T19" si="6">SUM(Q20:Q26)</f>
        <v>352838</v>
      </c>
      <c r="R19" s="9">
        <f t="shared" si="6"/>
        <v>353886</v>
      </c>
      <c r="S19" s="9">
        <f t="shared" si="6"/>
        <v>356236</v>
      </c>
      <c r="T19" s="9">
        <f t="shared" si="6"/>
        <v>358564</v>
      </c>
      <c r="U19" s="8"/>
      <c r="V19" s="24"/>
      <c r="W19" s="24"/>
    </row>
    <row r="20" spans="1:23" x14ac:dyDescent="0.25">
      <c r="A20" t="s">
        <v>31</v>
      </c>
      <c r="B20" s="11" t="s">
        <v>16</v>
      </c>
      <c r="C20" s="5">
        <v>3</v>
      </c>
      <c r="D20" s="5">
        <v>32</v>
      </c>
      <c r="E20" s="5">
        <v>22</v>
      </c>
      <c r="F20" s="8"/>
      <c r="G20" s="25"/>
      <c r="H20" s="25">
        <v>112120</v>
      </c>
      <c r="I20" s="20">
        <v>131625</v>
      </c>
      <c r="J20" s="20">
        <v>131405</v>
      </c>
      <c r="K20" s="20">
        <v>108860</v>
      </c>
      <c r="L20" s="20">
        <v>117633</v>
      </c>
      <c r="M20" s="20">
        <v>117766</v>
      </c>
      <c r="N20" s="20">
        <v>113460</v>
      </c>
      <c r="O20" s="20">
        <v>112770</v>
      </c>
      <c r="P20" s="20">
        <v>112290</v>
      </c>
      <c r="Q20" s="20">
        <v>130793</v>
      </c>
      <c r="R20" s="20">
        <v>131150</v>
      </c>
      <c r="S20" s="20">
        <v>131968</v>
      </c>
      <c r="T20" s="20">
        <v>132762</v>
      </c>
      <c r="U20" s="8"/>
      <c r="V20" s="24">
        <f t="shared" ref="V20:W26" si="7">$Q20/D20</f>
        <v>4087.28125</v>
      </c>
      <c r="W20" s="24">
        <f t="shared" si="7"/>
        <v>5945.136363636364</v>
      </c>
    </row>
    <row r="21" spans="1:23" x14ac:dyDescent="0.25">
      <c r="A21" t="s">
        <v>32</v>
      </c>
      <c r="B21" s="11" t="s">
        <v>15</v>
      </c>
      <c r="C21" s="5">
        <v>5</v>
      </c>
      <c r="D21" s="5">
        <v>14</v>
      </c>
      <c r="E21" s="5">
        <v>8</v>
      </c>
      <c r="F21" s="8"/>
      <c r="I21" s="4">
        <v>35766</v>
      </c>
      <c r="J21" s="4">
        <v>40375</v>
      </c>
      <c r="K21" s="5"/>
      <c r="L21" s="5"/>
      <c r="M21" s="5"/>
      <c r="N21" s="5"/>
      <c r="O21" s="5"/>
      <c r="P21" s="5"/>
      <c r="Q21" s="4">
        <v>34954</v>
      </c>
      <c r="R21" s="4">
        <v>35091</v>
      </c>
      <c r="S21" s="4">
        <v>35340</v>
      </c>
      <c r="T21" s="4">
        <v>35617</v>
      </c>
      <c r="U21" s="8"/>
      <c r="V21" s="24">
        <f t="shared" si="7"/>
        <v>2496.7142857142858</v>
      </c>
      <c r="W21" s="24">
        <f t="shared" si="7"/>
        <v>4369.25</v>
      </c>
    </row>
    <row r="22" spans="1:23" x14ac:dyDescent="0.25">
      <c r="A22" t="s">
        <v>33</v>
      </c>
      <c r="B22" s="11" t="s">
        <v>17</v>
      </c>
      <c r="C22" s="5">
        <v>5</v>
      </c>
      <c r="D22" s="5">
        <v>24</v>
      </c>
      <c r="E22" s="5">
        <v>22</v>
      </c>
      <c r="F22" s="8"/>
      <c r="I22" s="4">
        <v>62017</v>
      </c>
      <c r="J22" s="4">
        <v>64506</v>
      </c>
      <c r="K22" s="5"/>
      <c r="L22" s="5"/>
      <c r="M22" s="5"/>
      <c r="N22" s="5"/>
      <c r="O22" s="5"/>
      <c r="P22" s="5"/>
      <c r="Q22" s="4">
        <v>58515</v>
      </c>
      <c r="R22" s="4">
        <v>58692</v>
      </c>
      <c r="S22" s="4">
        <v>59085</v>
      </c>
      <c r="T22" s="4">
        <v>59472</v>
      </c>
      <c r="U22" s="8"/>
      <c r="V22" s="24">
        <f t="shared" si="7"/>
        <v>2438.125</v>
      </c>
      <c r="W22" s="24">
        <f t="shared" si="7"/>
        <v>2659.7727272727275</v>
      </c>
    </row>
    <row r="23" spans="1:23" x14ac:dyDescent="0.25">
      <c r="A23" t="s">
        <v>34</v>
      </c>
      <c r="B23" s="11" t="s">
        <v>18</v>
      </c>
      <c r="C23" s="5">
        <v>5</v>
      </c>
      <c r="D23" s="5">
        <v>14</v>
      </c>
      <c r="E23" s="5">
        <v>8</v>
      </c>
      <c r="F23" s="8"/>
      <c r="I23" s="4">
        <v>58229</v>
      </c>
      <c r="J23" s="4">
        <v>57827</v>
      </c>
      <c r="K23" s="5"/>
      <c r="L23" s="5"/>
      <c r="M23" s="5"/>
      <c r="N23" s="5"/>
      <c r="O23" s="5"/>
      <c r="P23" s="5"/>
      <c r="Q23" s="4">
        <v>55208</v>
      </c>
      <c r="R23" s="4">
        <v>55471</v>
      </c>
      <c r="S23" s="4">
        <v>56011</v>
      </c>
      <c r="T23" s="4">
        <v>56570</v>
      </c>
      <c r="U23" s="8"/>
      <c r="V23" s="24">
        <f t="shared" si="7"/>
        <v>3943.4285714285716</v>
      </c>
      <c r="W23" s="24">
        <f t="shared" si="7"/>
        <v>6901</v>
      </c>
    </row>
    <row r="24" spans="1:23" x14ac:dyDescent="0.25">
      <c r="A24" t="s">
        <v>35</v>
      </c>
      <c r="B24" s="11" t="s">
        <v>19</v>
      </c>
      <c r="C24" s="5">
        <v>3</v>
      </c>
      <c r="D24" s="5">
        <v>13</v>
      </c>
      <c r="E24" s="5">
        <v>12</v>
      </c>
      <c r="F24" s="8"/>
      <c r="I24" s="4">
        <v>55930</v>
      </c>
      <c r="J24" s="4">
        <v>55948</v>
      </c>
      <c r="K24" s="5"/>
      <c r="L24" s="5"/>
      <c r="M24" s="5"/>
      <c r="N24" s="5"/>
      <c r="O24" s="5"/>
      <c r="P24" s="5"/>
      <c r="Q24" s="4">
        <v>53368</v>
      </c>
      <c r="R24" s="4">
        <v>53389</v>
      </c>
      <c r="S24" s="4">
        <v>53557</v>
      </c>
      <c r="T24" s="4">
        <v>53669</v>
      </c>
      <c r="U24" s="8"/>
      <c r="V24" s="24">
        <f t="shared" si="7"/>
        <v>4105.2307692307695</v>
      </c>
      <c r="W24" s="24">
        <f t="shared" si="7"/>
        <v>4447.333333333333</v>
      </c>
    </row>
    <row r="25" spans="1:23" x14ac:dyDescent="0.25">
      <c r="A25" t="s">
        <v>41</v>
      </c>
      <c r="B25" s="11" t="s">
        <v>52</v>
      </c>
      <c r="C25" s="5">
        <v>5</v>
      </c>
      <c r="D25" s="5">
        <v>12</v>
      </c>
      <c r="E25" s="5">
        <v>7</v>
      </c>
      <c r="G25" s="6"/>
      <c r="H25" s="6"/>
      <c r="I25" s="4">
        <v>11661</v>
      </c>
      <c r="Q25" s="4">
        <v>11100</v>
      </c>
      <c r="R25" s="4">
        <v>11143</v>
      </c>
      <c r="S25" s="4">
        <v>11252</v>
      </c>
      <c r="T25" s="4">
        <v>11364</v>
      </c>
      <c r="V25" s="24">
        <f t="shared" si="7"/>
        <v>925</v>
      </c>
      <c r="W25" s="24">
        <f t="shared" si="7"/>
        <v>1585.7142857142858</v>
      </c>
    </row>
    <row r="26" spans="1:23" x14ac:dyDescent="0.25">
      <c r="A26" t="s">
        <v>37</v>
      </c>
      <c r="B26" s="11" t="s">
        <v>6</v>
      </c>
      <c r="C26" s="31" t="s">
        <v>63</v>
      </c>
      <c r="D26" s="4">
        <v>4</v>
      </c>
      <c r="E26" s="4">
        <v>3</v>
      </c>
      <c r="F26" s="8"/>
      <c r="J26" s="4">
        <v>9830</v>
      </c>
      <c r="K26" s="4">
        <v>10990</v>
      </c>
      <c r="L26" s="1"/>
      <c r="Q26" s="4">
        <v>8900</v>
      </c>
      <c r="R26" s="4">
        <v>8950</v>
      </c>
      <c r="S26" s="4">
        <v>9023</v>
      </c>
      <c r="T26" s="4">
        <v>9110</v>
      </c>
      <c r="U26" s="8"/>
      <c r="V26" s="24">
        <f t="shared" si="7"/>
        <v>2225</v>
      </c>
      <c r="W26" s="24">
        <f t="shared" si="7"/>
        <v>2966.6666666666665</v>
      </c>
    </row>
    <row r="27" spans="1:23" x14ac:dyDescent="0.25">
      <c r="F27" s="8"/>
      <c r="U27" s="8"/>
    </row>
    <row r="28" spans="1:23" x14ac:dyDescent="0.25">
      <c r="B28" s="3" t="s">
        <v>75</v>
      </c>
      <c r="F28" s="8"/>
      <c r="G28" s="5">
        <f>G6-G29</f>
        <v>113430</v>
      </c>
      <c r="H28" s="5">
        <f t="shared" ref="H28:T28" si="8">H6-H29</f>
        <v>333943</v>
      </c>
      <c r="I28" s="5">
        <f t="shared" si="8"/>
        <v>337692</v>
      </c>
      <c r="J28" s="5">
        <f t="shared" si="8"/>
        <v>347440</v>
      </c>
      <c r="K28" s="5">
        <f t="shared" si="8"/>
        <v>417772</v>
      </c>
      <c r="L28" s="5">
        <f t="shared" si="8"/>
        <v>349683</v>
      </c>
      <c r="M28" s="5">
        <f t="shared" si="8"/>
        <v>405410</v>
      </c>
      <c r="N28" s="5">
        <f t="shared" si="8"/>
        <v>361426</v>
      </c>
      <c r="O28" s="5">
        <f t="shared" si="8"/>
        <v>435743</v>
      </c>
      <c r="P28" s="5">
        <f t="shared" si="8"/>
        <v>453589</v>
      </c>
      <c r="Q28" s="5">
        <f t="shared" si="8"/>
        <v>591813</v>
      </c>
      <c r="R28" s="5">
        <f t="shared" si="8"/>
        <v>593475</v>
      </c>
      <c r="S28" s="5">
        <f t="shared" si="8"/>
        <v>597183</v>
      </c>
      <c r="T28" s="5">
        <f t="shared" si="8"/>
        <v>601152</v>
      </c>
    </row>
    <row r="29" spans="1:23" x14ac:dyDescent="0.25">
      <c r="B29" s="3" t="s">
        <v>95</v>
      </c>
      <c r="G29" s="38">
        <v>720970</v>
      </c>
      <c r="H29" s="38">
        <v>1017077</v>
      </c>
      <c r="I29" s="38">
        <v>1220812</v>
      </c>
      <c r="J29" s="38">
        <v>1222320</v>
      </c>
      <c r="K29" s="38">
        <v>1079482</v>
      </c>
      <c r="L29" s="38">
        <v>1076340</v>
      </c>
      <c r="M29" s="39">
        <v>1138956</v>
      </c>
      <c r="N29" s="39">
        <v>1065075</v>
      </c>
      <c r="O29" s="39">
        <v>1066686</v>
      </c>
      <c r="P29" s="39">
        <v>1085561</v>
      </c>
      <c r="Q29" s="39">
        <v>1434068</v>
      </c>
      <c r="R29" s="39">
        <v>1438660</v>
      </c>
      <c r="S29" s="39">
        <v>1448409</v>
      </c>
      <c r="T29" s="39">
        <v>1458452</v>
      </c>
    </row>
    <row r="30" spans="1:23" x14ac:dyDescent="0.25">
      <c r="B30" s="3" t="s">
        <v>74</v>
      </c>
      <c r="G30" s="34">
        <f>G6/G29</f>
        <v>1.1573297085870424</v>
      </c>
      <c r="H30" s="34">
        <f t="shared" ref="H30:T30" si="9">H6/H29</f>
        <v>1.3283360060251093</v>
      </c>
      <c r="I30" s="34">
        <f t="shared" si="9"/>
        <v>1.2766126152102044</v>
      </c>
      <c r="J30" s="34">
        <f t="shared" si="9"/>
        <v>1.2842463512009947</v>
      </c>
      <c r="K30" s="34">
        <f t="shared" si="9"/>
        <v>1.3870115481314187</v>
      </c>
      <c r="L30" s="34">
        <f t="shared" si="9"/>
        <v>1.3248815430068566</v>
      </c>
      <c r="M30" s="34">
        <f t="shared" si="9"/>
        <v>1.355948781164505</v>
      </c>
      <c r="N30" s="34">
        <f t="shared" si="9"/>
        <v>1.339343238739056</v>
      </c>
      <c r="O30" s="34">
        <f t="shared" si="9"/>
        <v>1.4085016584074415</v>
      </c>
      <c r="P30" s="34">
        <f t="shared" si="9"/>
        <v>1.4178383342806162</v>
      </c>
      <c r="Q30" s="34">
        <f t="shared" si="9"/>
        <v>1.4126812675549556</v>
      </c>
      <c r="R30" s="34">
        <f t="shared" si="9"/>
        <v>1.4125192887826172</v>
      </c>
      <c r="S30" s="34">
        <f t="shared" si="9"/>
        <v>1.4123027404552166</v>
      </c>
      <c r="T30" s="34">
        <f t="shared" si="9"/>
        <v>1.4121849742055275</v>
      </c>
      <c r="W30" s="5"/>
    </row>
    <row r="32" spans="1:23" x14ac:dyDescent="0.25">
      <c r="B32" s="32" t="s">
        <v>85</v>
      </c>
      <c r="I32" s="18">
        <f>I34/I33</f>
        <v>9.7435394016737426E-2</v>
      </c>
      <c r="J32" s="18">
        <f>J34/J33</f>
        <v>9.5837616873657078E-2</v>
      </c>
      <c r="K32" s="18">
        <f>K34/K33</f>
        <v>4.3618299815719894E-2</v>
      </c>
      <c r="L32" s="18">
        <f t="shared" ref="L32:T32" si="10">L34/L33</f>
        <v>7.6438924792872454E-2</v>
      </c>
      <c r="M32" s="18">
        <f t="shared" si="10"/>
        <v>4.4273418718565133E-2</v>
      </c>
      <c r="N32" s="18">
        <f t="shared" si="10"/>
        <v>2.6834451435476477E-2</v>
      </c>
      <c r="O32" s="18">
        <f t="shared" ref="O32:P32" si="11">O34/O33</f>
        <v>3.4913019814952935E-2</v>
      </c>
      <c r="P32" s="18">
        <f t="shared" si="11"/>
        <v>4.8595292331055431E-2</v>
      </c>
      <c r="Q32" s="18">
        <f t="shared" si="10"/>
        <v>7.3591516363662526E-2</v>
      </c>
      <c r="R32" s="18">
        <f t="shared" si="10"/>
        <v>0.10878996543978291</v>
      </c>
      <c r="S32" s="18">
        <f t="shared" si="10"/>
        <v>0.17924707649791807</v>
      </c>
      <c r="T32" s="18">
        <f t="shared" si="10"/>
        <v>0.24770546587369016</v>
      </c>
    </row>
    <row r="33" spans="2:31" x14ac:dyDescent="0.25">
      <c r="B33" s="32" t="s">
        <v>92</v>
      </c>
      <c r="I33" s="5">
        <f>I29-$H29</f>
        <v>203735</v>
      </c>
      <c r="J33" s="5">
        <f t="shared" ref="J33:Q33" si="12">J29-$H29</f>
        <v>205243</v>
      </c>
      <c r="K33" s="5">
        <f t="shared" si="12"/>
        <v>62405</v>
      </c>
      <c r="L33" s="5">
        <f t="shared" si="12"/>
        <v>59263</v>
      </c>
      <c r="M33" s="5">
        <f t="shared" si="12"/>
        <v>121879</v>
      </c>
      <c r="N33" s="5">
        <f t="shared" si="12"/>
        <v>47998</v>
      </c>
      <c r="O33" s="5">
        <f t="shared" ref="O33:P33" si="13">O29-$H29</f>
        <v>49609</v>
      </c>
      <c r="P33" s="5">
        <f t="shared" si="13"/>
        <v>68484</v>
      </c>
      <c r="Q33" s="5">
        <f t="shared" si="12"/>
        <v>416991</v>
      </c>
      <c r="R33" s="5">
        <f t="shared" ref="R33:T33" si="14">R29-$H29</f>
        <v>421583</v>
      </c>
      <c r="S33" s="5">
        <f t="shared" si="14"/>
        <v>431332</v>
      </c>
      <c r="T33" s="5">
        <f t="shared" si="14"/>
        <v>441375</v>
      </c>
    </row>
    <row r="34" spans="2:31" x14ac:dyDescent="0.25">
      <c r="B34" s="32" t="s">
        <v>76</v>
      </c>
      <c r="I34" s="35">
        <f t="shared" ref="I34:Q34" si="15">SUM(I35:I36)</f>
        <v>19851</v>
      </c>
      <c r="J34" s="35">
        <f t="shared" si="15"/>
        <v>19670</v>
      </c>
      <c r="K34" s="35">
        <f t="shared" si="15"/>
        <v>2722</v>
      </c>
      <c r="L34" s="35">
        <f t="shared" si="15"/>
        <v>4530</v>
      </c>
      <c r="M34" s="35">
        <f t="shared" si="15"/>
        <v>5396</v>
      </c>
      <c r="N34" s="35">
        <f t="shared" si="15"/>
        <v>1288</v>
      </c>
      <c r="O34" s="35">
        <f t="shared" ref="O34:P34" si="16">SUM(O35:O36)</f>
        <v>1732</v>
      </c>
      <c r="P34" s="35">
        <f t="shared" si="16"/>
        <v>3328</v>
      </c>
      <c r="Q34" s="35">
        <f t="shared" si="15"/>
        <v>30687</v>
      </c>
      <c r="R34" s="35">
        <f t="shared" ref="R34:T34" si="17">SUM(R35:R36)</f>
        <v>45864</v>
      </c>
      <c r="S34" s="35">
        <f t="shared" si="17"/>
        <v>77315</v>
      </c>
      <c r="T34" s="35">
        <f t="shared" si="17"/>
        <v>109331</v>
      </c>
    </row>
    <row r="35" spans="2:31" x14ac:dyDescent="0.25">
      <c r="B35" s="37" t="s">
        <v>72</v>
      </c>
      <c r="I35" s="4">
        <v>13609</v>
      </c>
      <c r="J35" s="4">
        <v>13375</v>
      </c>
      <c r="K35" s="4">
        <v>1456</v>
      </c>
      <c r="L35" s="4">
        <v>3190</v>
      </c>
      <c r="M35" s="4">
        <v>3510</v>
      </c>
      <c r="N35" s="4">
        <v>863</v>
      </c>
      <c r="O35" s="4">
        <v>1033</v>
      </c>
      <c r="P35" s="4">
        <v>1918</v>
      </c>
      <c r="Q35" s="4">
        <v>18657</v>
      </c>
      <c r="R35" s="4">
        <v>19589</v>
      </c>
      <c r="S35" s="4">
        <v>21227</v>
      </c>
      <c r="T35" s="4">
        <v>22924</v>
      </c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2:31" x14ac:dyDescent="0.25">
      <c r="B36" s="37" t="s">
        <v>73</v>
      </c>
      <c r="I36" s="4">
        <v>6242</v>
      </c>
      <c r="J36" s="4">
        <v>6295</v>
      </c>
      <c r="K36" s="4">
        <v>1266</v>
      </c>
      <c r="L36" s="4">
        <v>1340</v>
      </c>
      <c r="M36" s="4">
        <v>1886</v>
      </c>
      <c r="N36" s="4">
        <v>425</v>
      </c>
      <c r="O36" s="4">
        <v>699</v>
      </c>
      <c r="P36" s="4">
        <v>1410</v>
      </c>
      <c r="Q36" s="4">
        <v>12030</v>
      </c>
      <c r="R36" s="4">
        <v>26275</v>
      </c>
      <c r="S36" s="4">
        <v>56088</v>
      </c>
      <c r="T36" s="4">
        <v>86407</v>
      </c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8" spans="2:31" x14ac:dyDescent="0.25">
      <c r="B38" s="3" t="s">
        <v>71</v>
      </c>
      <c r="H38" s="36">
        <f>H39/H40/60/24</f>
        <v>3.103689081066149E-2</v>
      </c>
      <c r="I38" s="36">
        <f t="shared" ref="I38" si="18">I39/I40/60/24</f>
        <v>3.053789602059959E-2</v>
      </c>
      <c r="J38" s="36">
        <f t="shared" ref="J38" si="19">J39/J40/60/24</f>
        <v>3.0542219926508529E-2</v>
      </c>
      <c r="K38" s="36">
        <f t="shared" ref="K38" si="20">K39/K40/60/24</f>
        <v>3.0974994920921404E-2</v>
      </c>
      <c r="L38" s="36">
        <f t="shared" ref="L38" si="21">L39/L40/60/24</f>
        <v>3.0970074936247486E-2</v>
      </c>
      <c r="M38" s="36">
        <f t="shared" ref="M38" si="22">M39/M40/60/24</f>
        <v>3.0970573637805244E-2</v>
      </c>
      <c r="N38" s="36">
        <f t="shared" ref="N38:P38" si="23">N39/N40/60/24</f>
        <v>3.1005047106736974E-2</v>
      </c>
      <c r="O38" s="36">
        <f t="shared" si="23"/>
        <v>3.1000363297292093E-2</v>
      </c>
      <c r="P38" s="36">
        <f t="shared" si="23"/>
        <v>3.097445540988045E-2</v>
      </c>
      <c r="Q38" s="36">
        <f t="shared" ref="Q38:T38" si="24">Q39/Q40/60/24</f>
        <v>3.042816713820529E-2</v>
      </c>
      <c r="R38" s="36">
        <f t="shared" si="24"/>
        <v>0</v>
      </c>
      <c r="S38" s="36">
        <f t="shared" si="24"/>
        <v>0</v>
      </c>
      <c r="T38" s="36">
        <f t="shared" si="24"/>
        <v>0</v>
      </c>
      <c r="V38" s="36">
        <f>H38-Q38</f>
        <v>6.0872367245620035E-4</v>
      </c>
      <c r="W38" s="41">
        <f>V38/H38</f>
        <v>1.9612907625627805E-2</v>
      </c>
    </row>
    <row r="39" spans="2:31" x14ac:dyDescent="0.25">
      <c r="B39" s="33" t="s">
        <v>77</v>
      </c>
      <c r="C39" s="5" t="s">
        <v>86</v>
      </c>
      <c r="H39" s="5">
        <f t="shared" ref="H39:Q39" si="25">H43+H47</f>
        <v>304661353</v>
      </c>
      <c r="I39" s="5">
        <f t="shared" si="25"/>
        <v>300230354</v>
      </c>
      <c r="J39" s="5">
        <f t="shared" si="25"/>
        <v>300330259</v>
      </c>
      <c r="K39" s="5">
        <f t="shared" si="25"/>
        <v>304171085</v>
      </c>
      <c r="L39" s="5">
        <f t="shared" si="25"/>
        <v>304092267</v>
      </c>
      <c r="M39" s="5">
        <f t="shared" si="25"/>
        <v>304132931</v>
      </c>
      <c r="N39" s="5">
        <f t="shared" si="25"/>
        <v>304398375</v>
      </c>
      <c r="O39" s="5">
        <f t="shared" ref="O39:P39" si="26">O43+O47</f>
        <v>304322928</v>
      </c>
      <c r="P39" s="5">
        <f t="shared" si="26"/>
        <v>304117794</v>
      </c>
      <c r="Q39" s="5">
        <f t="shared" si="25"/>
        <v>299406709</v>
      </c>
      <c r="R39" s="5">
        <f t="shared" ref="R39:T39" si="27">R43+R47</f>
        <v>0</v>
      </c>
      <c r="S39" s="5">
        <f t="shared" si="27"/>
        <v>0</v>
      </c>
      <c r="T39" s="5">
        <f t="shared" si="27"/>
        <v>0</v>
      </c>
      <c r="V39" s="5">
        <f>H39-Q39</f>
        <v>5254644</v>
      </c>
      <c r="W39" s="41">
        <f>V39/H39</f>
        <v>1.7247491184088585E-2</v>
      </c>
    </row>
    <row r="40" spans="2:31" x14ac:dyDescent="0.25">
      <c r="B40" s="33" t="s">
        <v>78</v>
      </c>
      <c r="C40" s="5" t="str">
        <f>H1</f>
        <v>S1 Base</v>
      </c>
      <c r="D40" s="5" t="str">
        <f>Q1</f>
        <v>S10 Max</v>
      </c>
      <c r="H40" s="5">
        <f t="shared" ref="H40:Q40" si="28">H44+H48</f>
        <v>6816739</v>
      </c>
      <c r="I40" s="5">
        <f t="shared" si="28"/>
        <v>6827363</v>
      </c>
      <c r="J40" s="5">
        <f t="shared" si="28"/>
        <v>6828668</v>
      </c>
      <c r="K40" s="5">
        <f t="shared" si="28"/>
        <v>6819369</v>
      </c>
      <c r="L40" s="5">
        <f t="shared" si="28"/>
        <v>6818685</v>
      </c>
      <c r="M40" s="5">
        <f t="shared" si="28"/>
        <v>6819487</v>
      </c>
      <c r="N40" s="5">
        <f t="shared" si="28"/>
        <v>6817850</v>
      </c>
      <c r="O40" s="5">
        <f t="shared" ref="O40:P40" si="29">O44+O48</f>
        <v>6817190</v>
      </c>
      <c r="P40" s="5">
        <f t="shared" si="29"/>
        <v>6818293</v>
      </c>
      <c r="Q40" s="5">
        <f t="shared" si="28"/>
        <v>6833186</v>
      </c>
      <c r="R40" s="5">
        <f t="shared" ref="R40:T40" si="30">R44+R48</f>
        <v>6829208</v>
      </c>
      <c r="S40" s="5">
        <f t="shared" si="30"/>
        <v>6821083</v>
      </c>
      <c r="T40" s="5">
        <f t="shared" si="30"/>
        <v>6813039.071606</v>
      </c>
      <c r="V40" s="5">
        <f>H40-Q40</f>
        <v>-16447</v>
      </c>
      <c r="W40" s="41">
        <f>V40/H40</f>
        <v>-2.4127372340352182E-3</v>
      </c>
    </row>
    <row r="42" spans="2:31" x14ac:dyDescent="0.25">
      <c r="B42" s="3" t="s">
        <v>79</v>
      </c>
      <c r="H42" s="36">
        <f>H43/H44/60/24</f>
        <v>3.3175722863565897E-2</v>
      </c>
      <c r="I42" s="36">
        <f t="shared" ref="I42" si="31">I43/I44/60/24</f>
        <v>3.2523762675272974E-2</v>
      </c>
      <c r="J42" s="36">
        <f t="shared" ref="J42" si="32">J43/J44/60/24</f>
        <v>3.2518905278539338E-2</v>
      </c>
      <c r="K42" s="36">
        <f t="shared" ref="K42" si="33">K43/K44/60/24</f>
        <v>3.3038709007759362E-2</v>
      </c>
      <c r="L42" s="36">
        <f t="shared" ref="L42" si="34">L43/L44/60/24</f>
        <v>3.3030798849927746E-2</v>
      </c>
      <c r="M42" s="36">
        <f t="shared" ref="M42" si="35">M43/M44/60/24</f>
        <v>3.3012666013704256E-2</v>
      </c>
      <c r="N42" s="36">
        <f t="shared" ref="N42:P42" si="36">N43/N44/60/24</f>
        <v>3.3120203658203458E-2</v>
      </c>
      <c r="O42" s="36">
        <f t="shared" si="36"/>
        <v>3.3123232403887995E-2</v>
      </c>
      <c r="P42" s="36">
        <f t="shared" si="36"/>
        <v>3.3091795947414175E-2</v>
      </c>
      <c r="Q42" s="36">
        <f t="shared" ref="Q42:T42" si="37">Q43/Q44/60/24</f>
        <v>3.2236970478699632E-2</v>
      </c>
      <c r="R42" s="36">
        <f t="shared" si="37"/>
        <v>0</v>
      </c>
      <c r="S42" s="36">
        <f t="shared" si="37"/>
        <v>0</v>
      </c>
      <c r="T42" s="36">
        <f t="shared" si="37"/>
        <v>0</v>
      </c>
      <c r="V42" s="36">
        <f>H42-Q42</f>
        <v>9.3875238486626489E-4</v>
      </c>
      <c r="W42" s="41">
        <f>V42/H42</f>
        <v>2.8296365650474418E-2</v>
      </c>
    </row>
    <row r="43" spans="2:31" x14ac:dyDescent="0.25">
      <c r="B43" s="33" t="s">
        <v>80</v>
      </c>
      <c r="H43" s="4">
        <v>129126660</v>
      </c>
      <c r="I43" s="4">
        <v>128016418</v>
      </c>
      <c r="J43" s="4">
        <v>128049839</v>
      </c>
      <c r="K43" s="4">
        <v>128847952</v>
      </c>
      <c r="L43" s="4">
        <v>128870613</v>
      </c>
      <c r="M43" s="4">
        <v>128879161</v>
      </c>
      <c r="N43" s="4">
        <v>129024936</v>
      </c>
      <c r="O43" s="4">
        <v>129026480</v>
      </c>
      <c r="P43" s="4">
        <v>129032685</v>
      </c>
      <c r="Q43" s="4">
        <v>127660817</v>
      </c>
      <c r="R43" s="4"/>
      <c r="S43" s="4"/>
      <c r="T43" s="4"/>
      <c r="V43" s="5">
        <f>H43-Q43</f>
        <v>1465843</v>
      </c>
      <c r="W43" s="41">
        <f>V43/H43</f>
        <v>1.1351977972635549E-2</v>
      </c>
    </row>
    <row r="44" spans="2:31" x14ac:dyDescent="0.25">
      <c r="B44" s="33" t="s">
        <v>81</v>
      </c>
      <c r="C44" s="40">
        <f>H44/H$40</f>
        <v>0.3965120272317893</v>
      </c>
      <c r="D44" s="40">
        <f>Q44/Q$40</f>
        <v>0.40245531147549618</v>
      </c>
      <c r="H44" s="4">
        <v>2702919</v>
      </c>
      <c r="I44" s="4">
        <v>2733395</v>
      </c>
      <c r="J44" s="4">
        <v>2734517</v>
      </c>
      <c r="K44" s="4">
        <v>2708270</v>
      </c>
      <c r="L44" s="4">
        <v>2709395</v>
      </c>
      <c r="M44" s="4">
        <v>2711063</v>
      </c>
      <c r="N44" s="4">
        <v>2705317</v>
      </c>
      <c r="O44" s="4">
        <v>2705102</v>
      </c>
      <c r="P44" s="4">
        <v>2707802</v>
      </c>
      <c r="Q44" s="4">
        <v>2750052</v>
      </c>
      <c r="R44" s="4">
        <v>2761251</v>
      </c>
      <c r="S44" s="4">
        <v>2784579</v>
      </c>
      <c r="T44" s="4">
        <v>2808549.7552510002</v>
      </c>
      <c r="V44" s="5">
        <f>H44-Q44</f>
        <v>-47133</v>
      </c>
      <c r="W44" s="40">
        <f>Q44/H44-1</f>
        <v>1.7437814451709333E-2</v>
      </c>
    </row>
    <row r="45" spans="2:31" x14ac:dyDescent="0.25">
      <c r="C45"/>
      <c r="D45"/>
    </row>
    <row r="46" spans="2:31" x14ac:dyDescent="0.25">
      <c r="B46" s="3" t="s">
        <v>82</v>
      </c>
      <c r="C46"/>
      <c r="D46"/>
      <c r="H46" s="36">
        <f>H47/H48/60/24</f>
        <v>2.9631605748698563E-2</v>
      </c>
      <c r="I46" s="36">
        <f t="shared" ref="I46:T46" si="38">I47/I48/60/24</f>
        <v>2.9212004371092084E-2</v>
      </c>
      <c r="J46" s="36">
        <f t="shared" si="38"/>
        <v>2.9221975583107598E-2</v>
      </c>
      <c r="K46" s="36">
        <f t="shared" si="38"/>
        <v>2.9615481333445007E-2</v>
      </c>
      <c r="L46" s="36">
        <f t="shared" si="38"/>
        <v>2.961136940120232E-2</v>
      </c>
      <c r="M46" s="36">
        <f t="shared" si="38"/>
        <v>2.9623039624061306E-2</v>
      </c>
      <c r="N46" s="36">
        <f t="shared" si="38"/>
        <v>2.961364940212435E-2</v>
      </c>
      <c r="O46" s="36">
        <f t="shared" si="38"/>
        <v>2.9603851971174849E-2</v>
      </c>
      <c r="P46" s="36">
        <f t="shared" si="38"/>
        <v>2.9579649061389501E-2</v>
      </c>
      <c r="Q46" s="36">
        <f t="shared" si="38"/>
        <v>2.9209910954564697E-2</v>
      </c>
      <c r="R46" s="36">
        <f t="shared" si="38"/>
        <v>0</v>
      </c>
      <c r="S46" s="36">
        <f t="shared" si="38"/>
        <v>0</v>
      </c>
      <c r="T46" s="36">
        <f t="shared" si="38"/>
        <v>0</v>
      </c>
      <c r="V46" s="36">
        <f>H46-Q46</f>
        <v>4.2169479413386654E-4</v>
      </c>
      <c r="W46" s="41">
        <f>V46/H46</f>
        <v>1.4231250162755274E-2</v>
      </c>
    </row>
    <row r="47" spans="2:31" x14ac:dyDescent="0.25">
      <c r="B47" s="33" t="s">
        <v>83</v>
      </c>
      <c r="C47"/>
      <c r="D47"/>
      <c r="H47" s="4">
        <v>175534693</v>
      </c>
      <c r="I47" s="4">
        <v>172213936</v>
      </c>
      <c r="J47" s="4">
        <v>172280420</v>
      </c>
      <c r="K47" s="4">
        <v>175323133</v>
      </c>
      <c r="L47" s="4">
        <v>175221654</v>
      </c>
      <c r="M47" s="4">
        <v>175253770</v>
      </c>
      <c r="N47" s="4">
        <v>175373439</v>
      </c>
      <c r="O47" s="4">
        <v>175296448</v>
      </c>
      <c r="P47" s="4">
        <v>175085109</v>
      </c>
      <c r="Q47" s="4">
        <v>171745892</v>
      </c>
      <c r="R47" s="4"/>
      <c r="S47" s="4"/>
      <c r="T47" s="4"/>
      <c r="V47" s="5">
        <f>H47-Q47</f>
        <v>3788801</v>
      </c>
      <c r="W47" s="41">
        <f>V47/H47</f>
        <v>2.1584342874032315E-2</v>
      </c>
    </row>
    <row r="48" spans="2:31" x14ac:dyDescent="0.25">
      <c r="B48" s="33" t="s">
        <v>84</v>
      </c>
      <c r="C48" s="40">
        <f>H48/H$40</f>
        <v>0.60348797276821076</v>
      </c>
      <c r="D48" s="40">
        <f>Q48/Q$40</f>
        <v>0.59754468852450382</v>
      </c>
      <c r="H48" s="4">
        <v>4113820</v>
      </c>
      <c r="I48" s="4">
        <v>4093968</v>
      </c>
      <c r="J48" s="4">
        <v>4094151</v>
      </c>
      <c r="K48" s="4">
        <v>4111099</v>
      </c>
      <c r="L48" s="4">
        <v>4109290</v>
      </c>
      <c r="M48" s="4">
        <v>4108424</v>
      </c>
      <c r="N48" s="4">
        <v>4112533</v>
      </c>
      <c r="O48" s="4">
        <v>4112088</v>
      </c>
      <c r="P48" s="4">
        <v>4110491</v>
      </c>
      <c r="Q48" s="4">
        <v>4083134</v>
      </c>
      <c r="R48" s="4">
        <v>4067957</v>
      </c>
      <c r="S48" s="4">
        <v>4036504</v>
      </c>
      <c r="T48" s="4">
        <v>4004489.3163549998</v>
      </c>
      <c r="V48" s="5">
        <f>H48-Q48</f>
        <v>30686</v>
      </c>
      <c r="W48" s="40">
        <f>Q48/H48-1</f>
        <v>-7.4592471231118562E-3</v>
      </c>
    </row>
    <row r="50" spans="16:20" x14ac:dyDescent="0.25">
      <c r="P50" s="5"/>
      <c r="T50" s="5"/>
    </row>
  </sheetData>
  <phoneticPr fontId="5" type="noConversion"/>
  <conditionalFormatting sqref="W38:W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9370078740157483" right="0.39370078740157483" top="0.39370078740157483" bottom="0.39370078740157483" header="0" footer="0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69A4-4FE7-4E77-B5CA-64685F782EE0}">
  <sheetPr>
    <pageSetUpPr fitToPage="1"/>
  </sheetPr>
  <dimension ref="A1:L25"/>
  <sheetViews>
    <sheetView zoomScale="130" zoomScaleNormal="130" zoomScaleSheetLayoutView="130" workbookViewId="0">
      <pane xSplit="1" ySplit="1" topLeftCell="B2" activePane="bottomRight" state="frozen"/>
      <selection pane="topRight" activeCell="C1" sqref="C1"/>
      <selection pane="bottomLeft" activeCell="A2" sqref="A2"/>
      <selection pane="bottomRight"/>
    </sheetView>
  </sheetViews>
  <sheetFormatPr defaultRowHeight="13.8" x14ac:dyDescent="0.25"/>
  <cols>
    <col min="1" max="1" width="32.625" customWidth="1"/>
    <col min="2" max="2" width="10.75" customWidth="1"/>
    <col min="3" max="7" width="10.75" style="5" customWidth="1"/>
    <col min="8" max="9" width="10.75" customWidth="1"/>
    <col min="10" max="14" width="10.625" customWidth="1"/>
  </cols>
  <sheetData>
    <row r="1" spans="1:12" x14ac:dyDescent="0.25">
      <c r="A1" s="3" t="s">
        <v>97</v>
      </c>
      <c r="B1" s="10">
        <v>2025</v>
      </c>
      <c r="C1" s="10">
        <v>2040</v>
      </c>
      <c r="D1" s="18"/>
      <c r="E1" s="18"/>
      <c r="F1" s="9" t="s">
        <v>13</v>
      </c>
      <c r="G1" s="9" t="s">
        <v>24</v>
      </c>
      <c r="H1" s="9" t="s">
        <v>44</v>
      </c>
      <c r="I1" s="9" t="s">
        <v>54</v>
      </c>
    </row>
    <row r="2" spans="1:12" x14ac:dyDescent="0.25">
      <c r="A2" s="11" t="s">
        <v>16</v>
      </c>
      <c r="B2" s="4">
        <v>99435</v>
      </c>
      <c r="C2" s="4">
        <v>131327</v>
      </c>
      <c r="D2" s="18">
        <f>(C2-B2)/B2</f>
        <v>0.32073213657162969</v>
      </c>
      <c r="E2" s="18"/>
      <c r="F2" s="4">
        <v>3</v>
      </c>
      <c r="G2" s="4">
        <v>32</v>
      </c>
      <c r="H2" s="4">
        <v>22</v>
      </c>
      <c r="I2" s="5">
        <f>C2/H2</f>
        <v>5969.409090909091</v>
      </c>
      <c r="J2" s="9"/>
    </row>
    <row r="3" spans="1:12" x14ac:dyDescent="0.25">
      <c r="A3" s="11" t="s">
        <v>15</v>
      </c>
      <c r="B3" s="4">
        <v>35721</v>
      </c>
      <c r="C3" s="4">
        <v>35707</v>
      </c>
      <c r="D3" s="18">
        <f t="shared" ref="D3:D7" si="0">(C3-B3)/B3</f>
        <v>-3.9192631785224378E-4</v>
      </c>
      <c r="E3" s="18"/>
      <c r="F3" s="4">
        <v>5</v>
      </c>
      <c r="G3" s="4">
        <v>14</v>
      </c>
      <c r="H3" s="4">
        <v>8</v>
      </c>
      <c r="I3" s="5">
        <f t="shared" ref="I3:I7" si="1">C3/H3</f>
        <v>4463.375</v>
      </c>
    </row>
    <row r="4" spans="1:12" x14ac:dyDescent="0.25">
      <c r="A4" s="11" t="s">
        <v>17</v>
      </c>
      <c r="B4" s="4">
        <v>33263</v>
      </c>
      <c r="C4" s="30">
        <v>64452</v>
      </c>
      <c r="D4" s="18">
        <f t="shared" si="0"/>
        <v>0.93764843820461174</v>
      </c>
      <c r="E4" s="18"/>
      <c r="F4" s="4">
        <v>5</v>
      </c>
      <c r="G4" s="4">
        <v>24</v>
      </c>
      <c r="H4" s="4">
        <v>22</v>
      </c>
      <c r="I4" s="5">
        <f t="shared" si="1"/>
        <v>2929.6363636363635</v>
      </c>
    </row>
    <row r="5" spans="1:12" x14ac:dyDescent="0.25">
      <c r="A5" s="11" t="s">
        <v>18</v>
      </c>
      <c r="B5" s="4">
        <v>18357</v>
      </c>
      <c r="C5" s="30">
        <v>57853</v>
      </c>
      <c r="D5" s="18">
        <f t="shared" si="0"/>
        <v>2.1515498175083074</v>
      </c>
      <c r="E5" s="18"/>
      <c r="F5" s="4">
        <v>5</v>
      </c>
      <c r="G5" s="4">
        <v>14</v>
      </c>
      <c r="H5" s="4">
        <v>8</v>
      </c>
      <c r="I5" s="5">
        <f t="shared" si="1"/>
        <v>7231.625</v>
      </c>
    </row>
    <row r="6" spans="1:12" x14ac:dyDescent="0.25">
      <c r="A6" s="11" t="s">
        <v>19</v>
      </c>
      <c r="B6" s="4">
        <v>3561</v>
      </c>
      <c r="C6" s="30">
        <v>55940</v>
      </c>
      <c r="D6" s="18">
        <f t="shared" si="0"/>
        <v>14.709070485818589</v>
      </c>
      <c r="E6" s="18"/>
      <c r="F6" s="4">
        <v>3</v>
      </c>
      <c r="G6" s="4">
        <v>13</v>
      </c>
      <c r="H6" s="4">
        <v>12</v>
      </c>
      <c r="I6" s="5">
        <f t="shared" si="1"/>
        <v>4661.666666666667</v>
      </c>
    </row>
    <row r="7" spans="1:12" x14ac:dyDescent="0.25">
      <c r="A7" s="3" t="s">
        <v>94</v>
      </c>
      <c r="B7" s="9">
        <f>SUM(B2:B6)</f>
        <v>190337</v>
      </c>
      <c r="C7" s="9">
        <f>SUM(C2:C6)</f>
        <v>345279</v>
      </c>
      <c r="D7" s="21">
        <f t="shared" si="0"/>
        <v>0.8140403599930649</v>
      </c>
      <c r="E7" s="21"/>
      <c r="F7" s="21"/>
      <c r="G7" s="21"/>
      <c r="H7" s="9">
        <f>SUM(H2:H6)</f>
        <v>72</v>
      </c>
      <c r="I7" s="9">
        <f t="shared" si="1"/>
        <v>4795.541666666667</v>
      </c>
    </row>
    <row r="8" spans="1:12" x14ac:dyDescent="0.25">
      <c r="J8" s="9"/>
      <c r="L8" s="5"/>
    </row>
    <row r="9" spans="1:12" x14ac:dyDescent="0.25">
      <c r="A9" s="3" t="s">
        <v>1</v>
      </c>
      <c r="B9" s="10">
        <v>2025</v>
      </c>
      <c r="C9" s="10">
        <v>2040</v>
      </c>
      <c r="D9"/>
      <c r="E9" s="8"/>
      <c r="F9" s="8"/>
      <c r="G9" s="8"/>
    </row>
    <row r="10" spans="1:12" x14ac:dyDescent="0.25">
      <c r="A10" s="11" t="s">
        <v>55</v>
      </c>
      <c r="B10" s="4">
        <v>490200</v>
      </c>
      <c r="C10" s="4">
        <v>505400</v>
      </c>
      <c r="D10" s="18">
        <f t="shared" ref="D10:D15" si="2">(C10-B10)/B10</f>
        <v>3.1007751937984496E-2</v>
      </c>
      <c r="E10" s="8"/>
      <c r="F10" s="8"/>
      <c r="G10" s="8"/>
      <c r="H10" s="19"/>
    </row>
    <row r="11" spans="1:12" x14ac:dyDescent="0.25">
      <c r="A11" s="11" t="s">
        <v>53</v>
      </c>
      <c r="B11" s="4">
        <v>223000</v>
      </c>
      <c r="C11" s="4">
        <v>214500</v>
      </c>
      <c r="D11" s="18">
        <f t="shared" si="2"/>
        <v>-3.811659192825112E-2</v>
      </c>
      <c r="E11" s="8"/>
      <c r="F11" s="8"/>
      <c r="G11" s="8"/>
      <c r="H11" s="19"/>
    </row>
    <row r="12" spans="1:12" x14ac:dyDescent="0.25">
      <c r="A12" s="11" t="s">
        <v>20</v>
      </c>
      <c r="B12" s="4">
        <v>286000</v>
      </c>
      <c r="C12" s="30">
        <v>412600</v>
      </c>
      <c r="D12" s="18">
        <f t="shared" si="2"/>
        <v>0.44265734265734263</v>
      </c>
      <c r="E12" s="8"/>
      <c r="F12" s="8"/>
      <c r="G12" s="8"/>
      <c r="H12" s="19"/>
    </row>
    <row r="13" spans="1:12" x14ac:dyDescent="0.25">
      <c r="A13" s="11" t="s">
        <v>27</v>
      </c>
      <c r="B13" s="4">
        <v>194500</v>
      </c>
      <c r="C13" s="30">
        <v>356900</v>
      </c>
      <c r="D13" s="18">
        <f t="shared" si="2"/>
        <v>0.83496143958868896</v>
      </c>
      <c r="E13" s="8"/>
      <c r="F13" s="8"/>
      <c r="G13" s="8"/>
      <c r="H13" s="19"/>
    </row>
    <row r="14" spans="1:12" x14ac:dyDescent="0.25">
      <c r="A14" s="11" t="s">
        <v>0</v>
      </c>
      <c r="B14" s="4">
        <v>39500</v>
      </c>
      <c r="C14" s="30">
        <v>277200</v>
      </c>
      <c r="D14" s="18">
        <f t="shared" si="2"/>
        <v>6.0177215189873419</v>
      </c>
      <c r="E14" s="8"/>
      <c r="F14" s="8"/>
      <c r="G14" s="8"/>
      <c r="H14" s="19"/>
    </row>
    <row r="15" spans="1:12" x14ac:dyDescent="0.25">
      <c r="A15" s="3" t="s">
        <v>62</v>
      </c>
      <c r="B15" s="7">
        <v>3742900</v>
      </c>
      <c r="C15" s="7">
        <v>4370000</v>
      </c>
      <c r="D15" s="21">
        <f t="shared" si="2"/>
        <v>0.16754388308530818</v>
      </c>
      <c r="E15" s="8"/>
      <c r="F15" s="8"/>
      <c r="G15" s="8"/>
      <c r="H15" s="19"/>
    </row>
    <row r="16" spans="1:12" x14ac:dyDescent="0.25">
      <c r="B16" s="5"/>
      <c r="C16" s="6"/>
      <c r="D16" s="18"/>
      <c r="E16" s="18"/>
      <c r="F16" s="18"/>
      <c r="H16" s="19"/>
    </row>
    <row r="17" spans="2:12" x14ac:dyDescent="0.25">
      <c r="B17" s="5"/>
      <c r="J17" s="9"/>
      <c r="L17" s="5"/>
    </row>
    <row r="18" spans="2:12" x14ac:dyDescent="0.25">
      <c r="E18" s="10"/>
      <c r="F18" s="10"/>
      <c r="J18" s="9"/>
      <c r="L18" s="5"/>
    </row>
    <row r="19" spans="2:12" x14ac:dyDescent="0.25">
      <c r="E19" s="18"/>
      <c r="F19" s="18"/>
      <c r="I19" s="5"/>
      <c r="J19" s="9"/>
      <c r="L19" s="5"/>
    </row>
    <row r="20" spans="2:12" x14ac:dyDescent="0.25">
      <c r="E20" s="18"/>
      <c r="F20" s="18"/>
      <c r="J20" s="9"/>
      <c r="L20" s="5"/>
    </row>
    <row r="21" spans="2:12" x14ac:dyDescent="0.25">
      <c r="E21" s="18"/>
      <c r="F21" s="18"/>
      <c r="J21" s="9"/>
      <c r="L21" s="5"/>
    </row>
    <row r="22" spans="2:12" x14ac:dyDescent="0.25">
      <c r="E22" s="18"/>
      <c r="F22" s="18"/>
      <c r="J22" s="9"/>
      <c r="L22" s="5"/>
    </row>
    <row r="23" spans="2:12" x14ac:dyDescent="0.25">
      <c r="E23" s="18"/>
      <c r="F23" s="18"/>
      <c r="J23" s="9"/>
      <c r="L23" s="5"/>
    </row>
    <row r="24" spans="2:12" x14ac:dyDescent="0.25">
      <c r="E24" s="21"/>
      <c r="F24" s="21"/>
      <c r="J24" s="9"/>
      <c r="L24" s="5"/>
    </row>
    <row r="25" spans="2:12" x14ac:dyDescent="0.25">
      <c r="J25" s="9"/>
      <c r="L25" s="5"/>
    </row>
  </sheetData>
  <pageMargins left="0.39370078740157483" right="0.39370078740157483" top="0.39370078740157483" bottom="0.39370078740157483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4C3E-0364-4FE4-A1C7-C573153CB7F2}">
  <sheetPr>
    <pageSetUpPr fitToPage="1"/>
  </sheetPr>
  <dimension ref="A1:L25"/>
  <sheetViews>
    <sheetView zoomScale="130" zoomScaleNormal="130" zoomScaleSheet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8" x14ac:dyDescent="0.25"/>
  <cols>
    <col min="1" max="1" width="32.625" customWidth="1"/>
    <col min="2" max="2" width="10.5" customWidth="1"/>
    <col min="3" max="6" width="10.5" style="5" customWidth="1"/>
    <col min="7" max="9" width="10.5" customWidth="1"/>
    <col min="11" max="12" width="11"/>
  </cols>
  <sheetData>
    <row r="1" spans="1:12" x14ac:dyDescent="0.25">
      <c r="A1" s="3" t="s">
        <v>97</v>
      </c>
      <c r="B1" s="10">
        <v>2025</v>
      </c>
      <c r="C1" s="10">
        <v>2040</v>
      </c>
      <c r="D1" s="10">
        <v>2040</v>
      </c>
      <c r="E1" s="10">
        <v>2040</v>
      </c>
      <c r="F1" s="10"/>
      <c r="G1" s="9"/>
      <c r="I1" s="10">
        <v>2040</v>
      </c>
    </row>
    <row r="2" spans="1:12" x14ac:dyDescent="0.25">
      <c r="A2" s="3" t="s">
        <v>23</v>
      </c>
      <c r="B2" s="12" t="s">
        <v>21</v>
      </c>
      <c r="C2" s="13" t="s">
        <v>22</v>
      </c>
      <c r="D2" s="13" t="s">
        <v>22</v>
      </c>
      <c r="E2" s="13" t="s">
        <v>22</v>
      </c>
      <c r="F2" s="13"/>
      <c r="G2" s="9" t="s">
        <v>24</v>
      </c>
      <c r="H2" s="9" t="s">
        <v>44</v>
      </c>
      <c r="I2" s="9" t="s">
        <v>54</v>
      </c>
    </row>
    <row r="3" spans="1:12" x14ac:dyDescent="0.25">
      <c r="A3" s="14" t="s">
        <v>2</v>
      </c>
      <c r="B3" s="5">
        <v>248990</v>
      </c>
      <c r="C3" s="5">
        <v>516638</v>
      </c>
      <c r="D3" s="5">
        <v>516201</v>
      </c>
      <c r="E3" s="5">
        <v>515801</v>
      </c>
      <c r="G3" s="5">
        <v>13</v>
      </c>
      <c r="H3" s="5">
        <v>18.2</v>
      </c>
      <c r="I3" s="24">
        <f>C3/$H3</f>
        <v>28386.703296703297</v>
      </c>
    </row>
    <row r="4" spans="1:12" x14ac:dyDescent="0.25">
      <c r="A4" s="15" t="s">
        <v>3</v>
      </c>
      <c r="B4" s="5">
        <v>544210</v>
      </c>
      <c r="C4" s="5">
        <v>456408</v>
      </c>
      <c r="D4" s="5">
        <v>445746</v>
      </c>
      <c r="E4" s="5">
        <v>435420</v>
      </c>
      <c r="G4" s="5">
        <v>14</v>
      </c>
      <c r="H4" s="5">
        <v>22.2</v>
      </c>
      <c r="I4" s="24">
        <f>C4/$H4</f>
        <v>20558.91891891892</v>
      </c>
    </row>
    <row r="5" spans="1:12" x14ac:dyDescent="0.25">
      <c r="A5" s="16" t="s">
        <v>4</v>
      </c>
      <c r="B5" s="5">
        <v>41200</v>
      </c>
      <c r="C5" s="5">
        <v>316083</v>
      </c>
      <c r="D5" s="5">
        <v>316703</v>
      </c>
      <c r="E5" s="5">
        <v>317124</v>
      </c>
      <c r="G5" s="5">
        <v>10</v>
      </c>
      <c r="H5" s="5">
        <v>14.5</v>
      </c>
      <c r="I5" s="24">
        <f>C5/$H5</f>
        <v>21798.827586206895</v>
      </c>
    </row>
    <row r="6" spans="1:12" x14ac:dyDescent="0.25">
      <c r="A6" s="3" t="s">
        <v>93</v>
      </c>
      <c r="B6" s="9">
        <f>SUM(B3:B5)</f>
        <v>834400</v>
      </c>
      <c r="C6" s="9">
        <f t="shared" ref="C6" si="0">SUM(C3:C5)</f>
        <v>1289129</v>
      </c>
      <c r="D6" s="9">
        <f t="shared" ref="D6:E6" si="1">SUM(D3:D5)</f>
        <v>1278650</v>
      </c>
      <c r="E6" s="9">
        <f t="shared" si="1"/>
        <v>1268345</v>
      </c>
      <c r="F6" s="9"/>
      <c r="G6" s="9">
        <f>SUM(G3:G5)</f>
        <v>37</v>
      </c>
      <c r="H6" s="9">
        <f>SUM(H3:H5)</f>
        <v>54.9</v>
      </c>
      <c r="I6" s="9">
        <f>C6/$H6</f>
        <v>23481.402550091076</v>
      </c>
    </row>
    <row r="7" spans="1:12" x14ac:dyDescent="0.25">
      <c r="A7" s="29" t="s">
        <v>61</v>
      </c>
      <c r="B7" s="28"/>
      <c r="C7" s="30">
        <v>28350</v>
      </c>
    </row>
    <row r="9" spans="1:12" x14ac:dyDescent="0.25">
      <c r="A9" s="3" t="s">
        <v>1</v>
      </c>
      <c r="B9" s="10">
        <v>2025</v>
      </c>
      <c r="C9" s="10">
        <v>2040</v>
      </c>
      <c r="D9" s="10"/>
    </row>
    <row r="10" spans="1:12" x14ac:dyDescent="0.25">
      <c r="A10" s="14" t="s">
        <v>2</v>
      </c>
      <c r="B10" s="4">
        <v>709773</v>
      </c>
      <c r="C10" s="4">
        <v>757890</v>
      </c>
      <c r="D10" s="18">
        <f t="shared" ref="D10:D15" si="2">(C10-B10)/B10</f>
        <v>6.7792096909857089E-2</v>
      </c>
    </row>
    <row r="11" spans="1:12" x14ac:dyDescent="0.25">
      <c r="A11" s="15" t="s">
        <v>25</v>
      </c>
      <c r="B11" s="4">
        <v>667780</v>
      </c>
      <c r="C11" s="4">
        <v>701087</v>
      </c>
      <c r="D11" s="18">
        <f t="shared" si="2"/>
        <v>4.9877205067537213E-2</v>
      </c>
      <c r="I11" s="5"/>
      <c r="J11" s="5"/>
      <c r="K11" s="5"/>
      <c r="L11" s="5"/>
    </row>
    <row r="12" spans="1:12" x14ac:dyDescent="0.25">
      <c r="A12" s="15" t="s">
        <v>45</v>
      </c>
      <c r="B12" s="4">
        <v>190733</v>
      </c>
      <c r="C12" s="30">
        <v>344674</v>
      </c>
      <c r="D12" s="18">
        <f t="shared" si="2"/>
        <v>0.80710207462788297</v>
      </c>
      <c r="J12" s="5"/>
      <c r="K12" s="5"/>
      <c r="L12" s="5"/>
    </row>
    <row r="13" spans="1:12" x14ac:dyDescent="0.25">
      <c r="A13" s="16" t="s">
        <v>26</v>
      </c>
      <c r="B13" s="4">
        <v>213286</v>
      </c>
      <c r="C13" s="4">
        <v>215615</v>
      </c>
      <c r="D13" s="18">
        <f t="shared" si="2"/>
        <v>1.0919610288532769E-2</v>
      </c>
      <c r="J13" s="5"/>
      <c r="K13" s="5"/>
      <c r="L13" s="5"/>
    </row>
    <row r="14" spans="1:12" x14ac:dyDescent="0.25">
      <c r="A14" s="16" t="s">
        <v>46</v>
      </c>
      <c r="B14" s="4">
        <v>389600</v>
      </c>
      <c r="C14" s="4">
        <v>387682</v>
      </c>
      <c r="D14" s="18">
        <f t="shared" si="2"/>
        <v>-4.9229979466119097E-3</v>
      </c>
    </row>
    <row r="15" spans="1:12" x14ac:dyDescent="0.25">
      <c r="A15" s="3" t="s">
        <v>60</v>
      </c>
      <c r="B15" s="7">
        <v>1175586</v>
      </c>
      <c r="C15" s="7">
        <v>1377964</v>
      </c>
      <c r="D15" s="21">
        <f t="shared" si="2"/>
        <v>0.17215074014151241</v>
      </c>
    </row>
    <row r="17" spans="1:9" x14ac:dyDescent="0.25">
      <c r="A17" s="3" t="s">
        <v>98</v>
      </c>
    </row>
    <row r="18" spans="1:9" x14ac:dyDescent="0.25">
      <c r="A18" s="14" t="s">
        <v>2</v>
      </c>
      <c r="B18" s="5"/>
      <c r="C18" s="5">
        <f t="shared" ref="C18:E19" si="3">C3/C24</f>
        <v>17221.266666666666</v>
      </c>
      <c r="D18" s="5">
        <f t="shared" si="3"/>
        <v>17206.7</v>
      </c>
      <c r="E18" s="5">
        <f t="shared" si="3"/>
        <v>17193.366666666665</v>
      </c>
    </row>
    <row r="19" spans="1:9" x14ac:dyDescent="0.25">
      <c r="A19" s="15" t="s">
        <v>3</v>
      </c>
      <c r="B19" s="5"/>
      <c r="C19" s="5">
        <f t="shared" si="3"/>
        <v>15213.6</v>
      </c>
      <c r="D19" s="5">
        <f t="shared" si="3"/>
        <v>18572.75</v>
      </c>
      <c r="E19" s="5">
        <f t="shared" si="3"/>
        <v>21771</v>
      </c>
      <c r="I19" s="5"/>
    </row>
    <row r="20" spans="1:9" x14ac:dyDescent="0.25">
      <c r="A20" s="3" t="s">
        <v>13</v>
      </c>
      <c r="I20" s="5"/>
    </row>
    <row r="21" spans="1:9" x14ac:dyDescent="0.25">
      <c r="A21" s="14" t="s">
        <v>2</v>
      </c>
      <c r="C21" s="5">
        <v>2</v>
      </c>
      <c r="D21" s="5">
        <v>2</v>
      </c>
      <c r="E21" s="5">
        <v>2</v>
      </c>
      <c r="F21" s="6"/>
      <c r="I21" s="5"/>
    </row>
    <row r="22" spans="1:9" x14ac:dyDescent="0.25">
      <c r="A22" s="15" t="s">
        <v>3</v>
      </c>
      <c r="C22" s="5">
        <v>2</v>
      </c>
      <c r="D22" s="26">
        <v>2.5</v>
      </c>
      <c r="E22" s="27">
        <v>3</v>
      </c>
      <c r="F22" s="6"/>
    </row>
    <row r="23" spans="1:9" x14ac:dyDescent="0.25">
      <c r="A23" s="3" t="s">
        <v>59</v>
      </c>
      <c r="F23" s="6"/>
    </row>
    <row r="24" spans="1:9" x14ac:dyDescent="0.25">
      <c r="A24" s="14" t="s">
        <v>2</v>
      </c>
      <c r="C24" s="5">
        <f t="shared" ref="C24:E25" si="4">60/C21</f>
        <v>30</v>
      </c>
      <c r="D24" s="5">
        <f t="shared" si="4"/>
        <v>30</v>
      </c>
      <c r="E24" s="5">
        <f t="shared" si="4"/>
        <v>30</v>
      </c>
      <c r="F24" s="6"/>
    </row>
    <row r="25" spans="1:9" x14ac:dyDescent="0.25">
      <c r="A25" s="15" t="s">
        <v>3</v>
      </c>
      <c r="C25" s="5">
        <f t="shared" si="4"/>
        <v>30</v>
      </c>
      <c r="D25" s="5">
        <f t="shared" si="4"/>
        <v>24</v>
      </c>
      <c r="E25" s="5">
        <f t="shared" si="4"/>
        <v>20</v>
      </c>
      <c r="F25" s="6"/>
    </row>
  </sheetData>
  <pageMargins left="0.39370078740157483" right="0.39370078740157483" top="0.39370078740157483" bottom="0.39370078740157483" header="0" footer="0"/>
  <pageSetup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F529-4440-43B3-92B1-75771634A509}">
  <dimension ref="A1:L43"/>
  <sheetViews>
    <sheetView workbookViewId="0">
      <selection activeCell="F20" sqref="F20"/>
    </sheetView>
  </sheetViews>
  <sheetFormatPr defaultRowHeight="13.8" x14ac:dyDescent="0.25"/>
  <cols>
    <col min="2" max="4" width="20" bestFit="1" customWidth="1"/>
    <col min="5" max="6" width="18.875" bestFit="1" customWidth="1"/>
    <col min="7" max="7" width="20" bestFit="1" customWidth="1"/>
    <col min="8" max="11" width="18.875" bestFit="1" customWidth="1"/>
    <col min="12" max="12" width="21.5" bestFit="1" customWidth="1"/>
  </cols>
  <sheetData>
    <row r="1" spans="1:12" x14ac:dyDescent="0.25">
      <c r="A1" s="3" t="s">
        <v>99</v>
      </c>
      <c r="B1" s="14" t="s">
        <v>100</v>
      </c>
      <c r="C1" s="15" t="s">
        <v>101</v>
      </c>
      <c r="D1" s="42" t="s">
        <v>102</v>
      </c>
      <c r="E1" s="42" t="s">
        <v>103</v>
      </c>
      <c r="F1" s="4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</row>
    <row r="2" spans="1:12" x14ac:dyDescent="0.25">
      <c r="A2" s="1">
        <v>1</v>
      </c>
      <c r="B2" s="44">
        <v>397339</v>
      </c>
      <c r="C2" s="44">
        <v>348652</v>
      </c>
      <c r="D2" s="44">
        <v>158962</v>
      </c>
      <c r="E2" s="44">
        <v>0</v>
      </c>
      <c r="F2" s="44">
        <v>0</v>
      </c>
      <c r="G2" s="44">
        <v>112125</v>
      </c>
      <c r="H2" s="44">
        <v>0</v>
      </c>
      <c r="I2" s="44">
        <v>0</v>
      </c>
      <c r="J2" s="44">
        <v>0</v>
      </c>
      <c r="K2" s="44">
        <v>0</v>
      </c>
      <c r="L2" s="45">
        <f t="shared" ref="L2:L10" si="0">SUM(B2:K2)</f>
        <v>1017078</v>
      </c>
    </row>
    <row r="3" spans="1:12" x14ac:dyDescent="0.25">
      <c r="A3" s="1">
        <v>2</v>
      </c>
      <c r="B3" s="44">
        <v>392751</v>
      </c>
      <c r="C3" s="44">
        <v>336000</v>
      </c>
      <c r="D3" s="44">
        <v>154349</v>
      </c>
      <c r="E3" s="44">
        <v>0</v>
      </c>
      <c r="F3" s="44">
        <v>0</v>
      </c>
      <c r="G3" s="44">
        <v>181325</v>
      </c>
      <c r="H3" s="44">
        <v>34759</v>
      </c>
      <c r="I3" s="44">
        <v>56936</v>
      </c>
      <c r="J3" s="44">
        <v>53868</v>
      </c>
      <c r="K3" s="44">
        <v>10825</v>
      </c>
      <c r="L3" s="45">
        <f t="shared" si="0"/>
        <v>1220813</v>
      </c>
    </row>
    <row r="4" spans="1:12" x14ac:dyDescent="0.25">
      <c r="A4" s="1">
        <v>3</v>
      </c>
      <c r="B4" s="44">
        <v>393329</v>
      </c>
      <c r="C4" s="44">
        <v>339648</v>
      </c>
      <c r="D4" s="44">
        <v>155179</v>
      </c>
      <c r="E4" s="44">
        <v>0</v>
      </c>
      <c r="F4" s="44">
        <v>0</v>
      </c>
      <c r="G4" s="44">
        <v>181554</v>
      </c>
      <c r="H4" s="44">
        <v>39472</v>
      </c>
      <c r="I4" s="44">
        <v>56782</v>
      </c>
      <c r="J4" s="44">
        <v>56357</v>
      </c>
      <c r="K4" s="44">
        <v>0</v>
      </c>
      <c r="L4" s="45">
        <f t="shared" si="0"/>
        <v>1222321</v>
      </c>
    </row>
    <row r="5" spans="1:12" x14ac:dyDescent="0.25">
      <c r="A5" s="1">
        <v>4</v>
      </c>
      <c r="B5" s="44">
        <v>390068</v>
      </c>
      <c r="C5" s="44">
        <v>353914</v>
      </c>
      <c r="D5" s="44">
        <v>158347</v>
      </c>
      <c r="E5" s="44">
        <v>0</v>
      </c>
      <c r="F5" s="44">
        <v>68287</v>
      </c>
      <c r="G5" s="44">
        <v>108867</v>
      </c>
      <c r="H5" s="44">
        <v>0</v>
      </c>
      <c r="I5" s="44">
        <v>0</v>
      </c>
      <c r="J5" s="44">
        <v>0</v>
      </c>
      <c r="K5" s="44">
        <v>0</v>
      </c>
      <c r="L5" s="45">
        <f t="shared" si="0"/>
        <v>1079483</v>
      </c>
    </row>
    <row r="6" spans="1:12" x14ac:dyDescent="0.25">
      <c r="A6" s="1">
        <v>5</v>
      </c>
      <c r="B6" s="44">
        <v>391296</v>
      </c>
      <c r="C6" s="44">
        <v>413246</v>
      </c>
      <c r="D6" s="44">
        <v>154165</v>
      </c>
      <c r="E6" s="44">
        <v>0</v>
      </c>
      <c r="F6" s="44">
        <v>0</v>
      </c>
      <c r="G6" s="44">
        <v>117633</v>
      </c>
      <c r="H6" s="44">
        <v>0</v>
      </c>
      <c r="I6" s="44">
        <v>0</v>
      </c>
      <c r="J6" s="44">
        <v>0</v>
      </c>
      <c r="K6" s="44">
        <v>0</v>
      </c>
      <c r="L6" s="45">
        <f t="shared" si="0"/>
        <v>1076340</v>
      </c>
    </row>
    <row r="7" spans="1:12" x14ac:dyDescent="0.25">
      <c r="A7" s="1">
        <v>6</v>
      </c>
      <c r="B7" s="44">
        <v>375586</v>
      </c>
      <c r="C7" s="44">
        <v>491113</v>
      </c>
      <c r="D7" s="44">
        <v>154491</v>
      </c>
      <c r="E7" s="44">
        <v>0</v>
      </c>
      <c r="F7" s="44">
        <v>0</v>
      </c>
      <c r="G7" s="44">
        <v>117766</v>
      </c>
      <c r="H7" s="44">
        <v>0</v>
      </c>
      <c r="I7" s="44">
        <v>0</v>
      </c>
      <c r="J7" s="44">
        <v>0</v>
      </c>
      <c r="K7" s="44">
        <v>0</v>
      </c>
      <c r="L7" s="45">
        <f t="shared" si="0"/>
        <v>1138956</v>
      </c>
    </row>
    <row r="8" spans="1:12" x14ac:dyDescent="0.25">
      <c r="A8" s="1">
        <v>7</v>
      </c>
      <c r="B8" s="44">
        <v>396763</v>
      </c>
      <c r="C8" s="44">
        <v>353146</v>
      </c>
      <c r="D8" s="44">
        <v>201701</v>
      </c>
      <c r="E8" s="44">
        <v>0</v>
      </c>
      <c r="F8" s="44">
        <v>0</v>
      </c>
      <c r="G8" s="44">
        <v>113466</v>
      </c>
      <c r="H8" s="44">
        <v>0</v>
      </c>
      <c r="I8" s="44">
        <v>0</v>
      </c>
      <c r="J8" s="44">
        <v>0</v>
      </c>
      <c r="K8" s="44">
        <v>0</v>
      </c>
      <c r="L8" s="45">
        <f t="shared" si="0"/>
        <v>1065076</v>
      </c>
    </row>
    <row r="9" spans="1:12" x14ac:dyDescent="0.25">
      <c r="A9" s="1">
        <v>8</v>
      </c>
      <c r="B9" s="44">
        <v>406858</v>
      </c>
      <c r="C9" s="44">
        <v>349950.78300000099</v>
      </c>
      <c r="D9" s="44">
        <v>157244</v>
      </c>
      <c r="E9" s="44">
        <v>39859</v>
      </c>
      <c r="F9" s="44">
        <v>0</v>
      </c>
      <c r="G9" s="44">
        <v>112773</v>
      </c>
      <c r="H9" s="44">
        <v>0</v>
      </c>
      <c r="I9" s="44">
        <v>0</v>
      </c>
      <c r="J9" s="44">
        <v>0</v>
      </c>
      <c r="K9" s="44">
        <v>0</v>
      </c>
      <c r="L9" s="45">
        <f t="shared" si="0"/>
        <v>1066684.783000001</v>
      </c>
    </row>
    <row r="10" spans="1:12" x14ac:dyDescent="0.25">
      <c r="A10" s="1">
        <v>9</v>
      </c>
      <c r="B10" s="44">
        <v>407276</v>
      </c>
      <c r="C10" s="44">
        <v>352875</v>
      </c>
      <c r="D10" s="44">
        <v>160368</v>
      </c>
      <c r="E10" s="44">
        <v>52752.517999999996</v>
      </c>
      <c r="F10" s="44">
        <v>0</v>
      </c>
      <c r="G10" s="44">
        <v>112289</v>
      </c>
      <c r="H10" s="44">
        <v>0</v>
      </c>
      <c r="I10" s="44">
        <v>0</v>
      </c>
      <c r="J10" s="44">
        <v>0</v>
      </c>
      <c r="K10" s="44">
        <v>0</v>
      </c>
      <c r="L10" s="45">
        <f t="shared" si="0"/>
        <v>1085560.5180000002</v>
      </c>
    </row>
    <row r="11" spans="1:12" x14ac:dyDescent="0.25">
      <c r="A11" s="1">
        <v>10</v>
      </c>
      <c r="B11" s="44">
        <v>347044</v>
      </c>
      <c r="C11" s="44">
        <v>456068</v>
      </c>
      <c r="D11" s="44">
        <v>184684</v>
      </c>
      <c r="E11" s="44">
        <v>51806</v>
      </c>
      <c r="F11" s="44">
        <v>66163</v>
      </c>
      <c r="G11" s="44">
        <v>178545</v>
      </c>
      <c r="H11" s="44">
        <v>34119</v>
      </c>
      <c r="I11" s="44">
        <v>54104</v>
      </c>
      <c r="J11" s="44">
        <v>51054</v>
      </c>
      <c r="K11" s="44">
        <v>10480</v>
      </c>
      <c r="L11" s="45">
        <f>SUM(B11:K11)</f>
        <v>1434067</v>
      </c>
    </row>
    <row r="12" spans="1:12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4" spans="1:12" x14ac:dyDescent="0.25">
      <c r="H14" s="11"/>
      <c r="I14" s="11"/>
      <c r="J14" s="11"/>
      <c r="K14" s="11"/>
      <c r="L14" s="11"/>
    </row>
    <row r="16" spans="1:12" x14ac:dyDescent="0.25">
      <c r="J16" s="44"/>
    </row>
    <row r="17" spans="6:12" x14ac:dyDescent="0.25">
      <c r="K17" s="47"/>
      <c r="L17" s="47"/>
    </row>
    <row r="18" spans="6:12" x14ac:dyDescent="0.25">
      <c r="K18" s="47"/>
      <c r="L18" s="47"/>
    </row>
    <row r="24" spans="6:12" x14ac:dyDescent="0.25">
      <c r="F24" s="48"/>
      <c r="G24" s="48"/>
      <c r="H24" s="48"/>
      <c r="J24" s="48"/>
      <c r="K24" s="48"/>
    </row>
    <row r="25" spans="6:12" x14ac:dyDescent="0.25">
      <c r="F25" s="48"/>
      <c r="G25" s="48"/>
      <c r="H25" s="48"/>
    </row>
    <row r="26" spans="6:12" x14ac:dyDescent="0.25">
      <c r="F26" s="48"/>
      <c r="G26" s="48"/>
      <c r="H26" s="48"/>
    </row>
    <row r="27" spans="6:12" x14ac:dyDescent="0.25">
      <c r="F27" s="48"/>
      <c r="G27" s="48"/>
      <c r="H27" s="48"/>
    </row>
    <row r="28" spans="6:12" x14ac:dyDescent="0.25">
      <c r="F28" s="48"/>
      <c r="G28" s="48"/>
      <c r="H28" s="48"/>
    </row>
    <row r="29" spans="6:12" x14ac:dyDescent="0.25">
      <c r="F29" s="48"/>
      <c r="G29" s="48"/>
      <c r="H29" s="48"/>
    </row>
    <row r="30" spans="6:12" x14ac:dyDescent="0.25">
      <c r="F30" s="48"/>
      <c r="G30" s="48"/>
      <c r="H30" s="48"/>
    </row>
    <row r="31" spans="6:12" x14ac:dyDescent="0.25">
      <c r="F31" s="48"/>
      <c r="G31" s="48"/>
      <c r="H31" s="48"/>
    </row>
    <row r="32" spans="6:12" x14ac:dyDescent="0.25">
      <c r="F32" s="48"/>
      <c r="G32" s="48"/>
      <c r="H32" s="48"/>
    </row>
    <row r="33" spans="6:8" x14ac:dyDescent="0.25">
      <c r="F33" s="48"/>
      <c r="G33" s="48"/>
      <c r="H33" s="48"/>
    </row>
    <row r="34" spans="6:8" x14ac:dyDescent="0.25">
      <c r="F34" s="48"/>
      <c r="G34" s="48"/>
      <c r="H34" s="48"/>
    </row>
    <row r="35" spans="6:8" x14ac:dyDescent="0.25">
      <c r="F35" s="48"/>
      <c r="G35" s="48"/>
      <c r="H35" s="48"/>
    </row>
    <row r="36" spans="6:8" x14ac:dyDescent="0.25">
      <c r="F36" s="48"/>
      <c r="G36" s="48"/>
      <c r="H36" s="48"/>
    </row>
    <row r="37" spans="6:8" x14ac:dyDescent="0.25">
      <c r="F37" s="48"/>
      <c r="G37" s="48"/>
      <c r="H37" s="48"/>
    </row>
    <row r="38" spans="6:8" x14ac:dyDescent="0.25">
      <c r="F38" s="48"/>
      <c r="G38" s="48"/>
      <c r="H38" s="48"/>
    </row>
    <row r="39" spans="6:8" x14ac:dyDescent="0.25">
      <c r="F39" s="48"/>
      <c r="G39" s="48"/>
      <c r="H39" s="48"/>
    </row>
    <row r="40" spans="6:8" x14ac:dyDescent="0.25">
      <c r="F40" s="48"/>
      <c r="G40" s="48"/>
      <c r="H40" s="48"/>
    </row>
    <row r="41" spans="6:8" x14ac:dyDescent="0.25">
      <c r="F41" s="48"/>
      <c r="G41" s="48"/>
      <c r="H41" s="48"/>
    </row>
    <row r="42" spans="6:8" x14ac:dyDescent="0.25">
      <c r="F42" s="48"/>
      <c r="G42" s="48"/>
      <c r="H42" s="48"/>
    </row>
    <row r="43" spans="6:8" x14ac:dyDescent="0.25">
      <c r="F43" s="49"/>
      <c r="G43" s="49"/>
      <c r="H43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8CCA-446B-46E8-9859-ABA8FD78BADC}">
  <dimension ref="A1:D1411"/>
  <sheetViews>
    <sheetView tabSelected="1" workbookViewId="0">
      <selection sqref="A1:XFD1048576"/>
    </sheetView>
  </sheetViews>
  <sheetFormatPr defaultColWidth="10.25" defaultRowHeight="13.8" x14ac:dyDescent="0.25"/>
  <cols>
    <col min="1" max="1" width="12.125" style="53" bestFit="1" customWidth="1"/>
    <col min="2" max="3" width="25.75" style="53" bestFit="1" customWidth="1"/>
    <col min="4" max="4" width="8.125" style="54" bestFit="1" customWidth="1"/>
    <col min="5" max="16384" width="10.25" style="53"/>
  </cols>
  <sheetData>
    <row r="1" spans="1:4" s="51" customFormat="1" x14ac:dyDescent="0.25">
      <c r="A1" s="51" t="s">
        <v>111</v>
      </c>
      <c r="B1" s="51" t="s">
        <v>112</v>
      </c>
      <c r="C1" s="51" t="s">
        <v>113</v>
      </c>
      <c r="D1" s="52" t="s">
        <v>114</v>
      </c>
    </row>
    <row r="2" spans="1:4" x14ac:dyDescent="0.25">
      <c r="A2" s="53" t="s">
        <v>117</v>
      </c>
      <c r="B2" s="53" t="s">
        <v>119</v>
      </c>
      <c r="C2" s="53" t="s">
        <v>120</v>
      </c>
      <c r="D2" s="54">
        <v>7.0000000000000001E-3</v>
      </c>
    </row>
    <row r="3" spans="1:4" x14ac:dyDescent="0.25">
      <c r="A3" s="53" t="s">
        <v>117</v>
      </c>
      <c r="B3" s="53" t="s">
        <v>119</v>
      </c>
      <c r="C3" s="53" t="s">
        <v>121</v>
      </c>
      <c r="D3" s="54">
        <v>1E-3</v>
      </c>
    </row>
    <row r="4" spans="1:4" x14ac:dyDescent="0.25">
      <c r="A4" s="53" t="s">
        <v>117</v>
      </c>
      <c r="B4" s="53" t="s">
        <v>119</v>
      </c>
      <c r="C4" s="53" t="s">
        <v>122</v>
      </c>
      <c r="D4" s="54">
        <v>2E-3</v>
      </c>
    </row>
    <row r="5" spans="1:4" x14ac:dyDescent="0.25">
      <c r="A5" s="53" t="s">
        <v>117</v>
      </c>
      <c r="B5" s="53" t="s">
        <v>119</v>
      </c>
      <c r="C5" s="53" t="s">
        <v>126</v>
      </c>
      <c r="D5" s="54">
        <v>2E-3</v>
      </c>
    </row>
    <row r="6" spans="1:4" x14ac:dyDescent="0.25">
      <c r="A6" s="53" t="s">
        <v>117</v>
      </c>
      <c r="B6" s="53" t="s">
        <v>130</v>
      </c>
      <c r="C6" s="53" t="s">
        <v>120</v>
      </c>
      <c r="D6" s="54">
        <v>9.0000000000000011E-3</v>
      </c>
    </row>
    <row r="7" spans="1:4" x14ac:dyDescent="0.25">
      <c r="A7" s="53" t="s">
        <v>117</v>
      </c>
      <c r="B7" s="53" t="s">
        <v>130</v>
      </c>
      <c r="C7" s="53" t="s">
        <v>119</v>
      </c>
      <c r="D7" s="54">
        <v>0.26500000000000001</v>
      </c>
    </row>
    <row r="8" spans="1:4" x14ac:dyDescent="0.25">
      <c r="A8" s="53" t="s">
        <v>117</v>
      </c>
      <c r="B8" s="53" t="s">
        <v>130</v>
      </c>
      <c r="C8" s="53" t="s">
        <v>133</v>
      </c>
      <c r="D8" s="54">
        <v>1E-3</v>
      </c>
    </row>
    <row r="9" spans="1:4" x14ac:dyDescent="0.25">
      <c r="A9" s="53" t="s">
        <v>117</v>
      </c>
      <c r="B9" s="53" t="s">
        <v>130</v>
      </c>
      <c r="C9" s="53" t="s">
        <v>134</v>
      </c>
      <c r="D9" s="54">
        <v>2E-3</v>
      </c>
    </row>
    <row r="10" spans="1:4" x14ac:dyDescent="0.25">
      <c r="A10" s="53" t="s">
        <v>117</v>
      </c>
      <c r="B10" s="53" t="s">
        <v>130</v>
      </c>
      <c r="C10" s="53" t="s">
        <v>136</v>
      </c>
      <c r="D10" s="54">
        <v>5.0000000000000001E-3</v>
      </c>
    </row>
    <row r="11" spans="1:4" x14ac:dyDescent="0.25">
      <c r="A11" s="53" t="s">
        <v>117</v>
      </c>
      <c r="B11" s="53" t="s">
        <v>130</v>
      </c>
      <c r="C11" s="53" t="s">
        <v>127</v>
      </c>
      <c r="D11" s="54">
        <v>7.9000000000000001E-2</v>
      </c>
    </row>
    <row r="12" spans="1:4" x14ac:dyDescent="0.25">
      <c r="A12" s="53" t="s">
        <v>117</v>
      </c>
      <c r="B12" s="53" t="s">
        <v>130</v>
      </c>
      <c r="C12" s="53" t="s">
        <v>124</v>
      </c>
      <c r="D12" s="54">
        <v>0.27100000000000002</v>
      </c>
    </row>
    <row r="13" spans="1:4" x14ac:dyDescent="0.25">
      <c r="A13" s="53" t="s">
        <v>117</v>
      </c>
      <c r="B13" s="53" t="s">
        <v>130</v>
      </c>
      <c r="C13" s="53" t="s">
        <v>126</v>
      </c>
      <c r="D13" s="54">
        <v>1.500000000000001E-2</v>
      </c>
    </row>
    <row r="14" spans="1:4" x14ac:dyDescent="0.25">
      <c r="A14" s="53" t="s">
        <v>117</v>
      </c>
      <c r="B14" s="53" t="s">
        <v>136</v>
      </c>
      <c r="C14" s="53" t="s">
        <v>120</v>
      </c>
      <c r="D14" s="54">
        <v>106.65300000000001</v>
      </c>
    </row>
    <row r="15" spans="1:4" x14ac:dyDescent="0.25">
      <c r="A15" s="53" t="s">
        <v>117</v>
      </c>
      <c r="B15" s="53" t="s">
        <v>136</v>
      </c>
      <c r="C15" s="53" t="s">
        <v>142</v>
      </c>
      <c r="D15" s="54">
        <v>14.91299999999999</v>
      </c>
    </row>
    <row r="16" spans="1:4" x14ac:dyDescent="0.25">
      <c r="A16" s="53" t="s">
        <v>117</v>
      </c>
      <c r="B16" s="53" t="s">
        <v>136</v>
      </c>
      <c r="C16" s="53" t="s">
        <v>145</v>
      </c>
      <c r="D16" s="54">
        <v>5.6819999999999702</v>
      </c>
    </row>
    <row r="17" spans="1:4" x14ac:dyDescent="0.25">
      <c r="A17" s="53" t="s">
        <v>117</v>
      </c>
      <c r="B17" s="53" t="s">
        <v>136</v>
      </c>
      <c r="C17" s="53" t="s">
        <v>119</v>
      </c>
      <c r="D17" s="54">
        <v>56.261000000000053</v>
      </c>
    </row>
    <row r="18" spans="1:4" x14ac:dyDescent="0.25">
      <c r="A18" s="53" t="s">
        <v>117</v>
      </c>
      <c r="B18" s="53" t="s">
        <v>136</v>
      </c>
      <c r="C18" s="53" t="s">
        <v>133</v>
      </c>
      <c r="D18" s="54">
        <v>89.296000000000078</v>
      </c>
    </row>
    <row r="19" spans="1:4" x14ac:dyDescent="0.25">
      <c r="A19" s="53" t="s">
        <v>117</v>
      </c>
      <c r="B19" s="53" t="s">
        <v>136</v>
      </c>
      <c r="C19" s="53" t="s">
        <v>149</v>
      </c>
      <c r="D19" s="54">
        <v>21.964999999999989</v>
      </c>
    </row>
    <row r="20" spans="1:4" x14ac:dyDescent="0.25">
      <c r="A20" s="53" t="s">
        <v>117</v>
      </c>
      <c r="B20" s="53" t="s">
        <v>136</v>
      </c>
      <c r="C20" s="53" t="s">
        <v>130</v>
      </c>
      <c r="D20" s="54">
        <v>179.0690000000001</v>
      </c>
    </row>
    <row r="21" spans="1:4" x14ac:dyDescent="0.25">
      <c r="A21" s="53" t="s">
        <v>117</v>
      </c>
      <c r="B21" s="53" t="s">
        <v>136</v>
      </c>
      <c r="C21" s="53" t="s">
        <v>151</v>
      </c>
      <c r="D21" s="54">
        <v>5.3559999999999963</v>
      </c>
    </row>
    <row r="22" spans="1:4" x14ac:dyDescent="0.25">
      <c r="A22" s="53" t="s">
        <v>117</v>
      </c>
      <c r="B22" s="53" t="s">
        <v>136</v>
      </c>
      <c r="C22" s="53" t="s">
        <v>153</v>
      </c>
      <c r="D22" s="54">
        <v>3.1109999999999989</v>
      </c>
    </row>
    <row r="23" spans="1:4" x14ac:dyDescent="0.25">
      <c r="A23" s="53" t="s">
        <v>117</v>
      </c>
      <c r="B23" s="53" t="s">
        <v>136</v>
      </c>
      <c r="C23" s="53" t="s">
        <v>134</v>
      </c>
      <c r="D23" s="54">
        <v>3.097</v>
      </c>
    </row>
    <row r="24" spans="1:4" x14ac:dyDescent="0.25">
      <c r="A24" s="53" t="s">
        <v>117</v>
      </c>
      <c r="B24" s="53" t="s">
        <v>136</v>
      </c>
      <c r="C24" s="53" t="s">
        <v>136</v>
      </c>
      <c r="D24" s="54">
        <v>1.94</v>
      </c>
    </row>
    <row r="25" spans="1:4" x14ac:dyDescent="0.25">
      <c r="A25" s="53" t="s">
        <v>117</v>
      </c>
      <c r="B25" s="53" t="s">
        <v>136</v>
      </c>
      <c r="C25" s="53" t="s">
        <v>127</v>
      </c>
      <c r="D25" s="54">
        <v>190.11799999999999</v>
      </c>
    </row>
    <row r="26" spans="1:4" x14ac:dyDescent="0.25">
      <c r="A26" s="53" t="s">
        <v>117</v>
      </c>
      <c r="B26" s="53" t="s">
        <v>136</v>
      </c>
      <c r="C26" s="53" t="s">
        <v>160</v>
      </c>
      <c r="D26" s="54">
        <v>0.55100000000000016</v>
      </c>
    </row>
    <row r="27" spans="1:4" x14ac:dyDescent="0.25">
      <c r="A27" s="53" t="s">
        <v>117</v>
      </c>
      <c r="B27" s="53" t="s">
        <v>136</v>
      </c>
      <c r="C27" s="53" t="s">
        <v>144</v>
      </c>
      <c r="D27" s="54">
        <v>18.795000000000002</v>
      </c>
    </row>
    <row r="28" spans="1:4" x14ac:dyDescent="0.25">
      <c r="A28" s="53" t="s">
        <v>117</v>
      </c>
      <c r="B28" s="53" t="s">
        <v>136</v>
      </c>
      <c r="C28" s="53" t="s">
        <v>162</v>
      </c>
      <c r="D28" s="54">
        <v>5.9659999999999878</v>
      </c>
    </row>
    <row r="29" spans="1:4" x14ac:dyDescent="0.25">
      <c r="A29" s="53" t="s">
        <v>117</v>
      </c>
      <c r="B29" s="53" t="s">
        <v>136</v>
      </c>
      <c r="C29" s="53" t="s">
        <v>161</v>
      </c>
      <c r="D29" s="54">
        <v>15.858999999999989</v>
      </c>
    </row>
    <row r="30" spans="1:4" x14ac:dyDescent="0.25">
      <c r="A30" s="53" t="s">
        <v>117</v>
      </c>
      <c r="B30" s="53" t="s">
        <v>136</v>
      </c>
      <c r="C30" s="53" t="s">
        <v>163</v>
      </c>
      <c r="D30" s="54">
        <v>1.549999999999994</v>
      </c>
    </row>
    <row r="31" spans="1:4" x14ac:dyDescent="0.25">
      <c r="A31" s="53" t="s">
        <v>117</v>
      </c>
      <c r="B31" s="53" t="s">
        <v>136</v>
      </c>
      <c r="C31" s="53" t="s">
        <v>141</v>
      </c>
      <c r="D31" s="54">
        <v>99.974000000000061</v>
      </c>
    </row>
    <row r="32" spans="1:4" x14ac:dyDescent="0.25">
      <c r="A32" s="53" t="s">
        <v>117</v>
      </c>
      <c r="B32" s="53" t="s">
        <v>136</v>
      </c>
      <c r="C32" s="53" t="s">
        <v>147</v>
      </c>
      <c r="D32" s="54">
        <v>60.853999999999999</v>
      </c>
    </row>
    <row r="33" spans="1:4" x14ac:dyDescent="0.25">
      <c r="A33" s="53" t="s">
        <v>117</v>
      </c>
      <c r="B33" s="53" t="s">
        <v>136</v>
      </c>
      <c r="C33" s="53" t="s">
        <v>164</v>
      </c>
      <c r="D33" s="54">
        <v>0.17499999999999999</v>
      </c>
    </row>
    <row r="34" spans="1:4" x14ac:dyDescent="0.25">
      <c r="A34" s="53" t="s">
        <v>117</v>
      </c>
      <c r="B34" s="53" t="s">
        <v>136</v>
      </c>
      <c r="C34" s="53" t="s">
        <v>158</v>
      </c>
      <c r="D34" s="54">
        <v>3.590999999999978</v>
      </c>
    </row>
    <row r="35" spans="1:4" x14ac:dyDescent="0.25">
      <c r="A35" s="53" t="s">
        <v>117</v>
      </c>
      <c r="B35" s="53" t="s">
        <v>136</v>
      </c>
      <c r="C35" s="53" t="s">
        <v>146</v>
      </c>
      <c r="D35" s="54">
        <v>41.138000000000027</v>
      </c>
    </row>
    <row r="36" spans="1:4" x14ac:dyDescent="0.25">
      <c r="A36" s="53" t="s">
        <v>117</v>
      </c>
      <c r="B36" s="53" t="s">
        <v>136</v>
      </c>
      <c r="C36" s="53" t="s">
        <v>140</v>
      </c>
      <c r="D36" s="54">
        <v>61.851000000000063</v>
      </c>
    </row>
    <row r="37" spans="1:4" x14ac:dyDescent="0.25">
      <c r="A37" s="53" t="s">
        <v>117</v>
      </c>
      <c r="B37" s="53" t="s">
        <v>136</v>
      </c>
      <c r="C37" s="53" t="s">
        <v>121</v>
      </c>
      <c r="D37" s="54">
        <v>111.5380000000001</v>
      </c>
    </row>
    <row r="38" spans="1:4" x14ac:dyDescent="0.25">
      <c r="A38" s="53" t="s">
        <v>117</v>
      </c>
      <c r="B38" s="53" t="s">
        <v>136</v>
      </c>
      <c r="C38" s="53" t="s">
        <v>159</v>
      </c>
      <c r="D38" s="54">
        <v>7.0059999999999549</v>
      </c>
    </row>
    <row r="39" spans="1:4" x14ac:dyDescent="0.25">
      <c r="A39" s="53" t="s">
        <v>117</v>
      </c>
      <c r="B39" s="53" t="s">
        <v>136</v>
      </c>
      <c r="C39" s="53" t="s">
        <v>129</v>
      </c>
      <c r="D39" s="54">
        <v>215.7109999999997</v>
      </c>
    </row>
    <row r="40" spans="1:4" x14ac:dyDescent="0.25">
      <c r="A40" s="53" t="s">
        <v>117</v>
      </c>
      <c r="B40" s="53" t="s">
        <v>136</v>
      </c>
      <c r="C40" s="53" t="s">
        <v>128</v>
      </c>
      <c r="D40" s="54">
        <v>267.29500000000002</v>
      </c>
    </row>
    <row r="41" spans="1:4" x14ac:dyDescent="0.25">
      <c r="A41" s="53" t="s">
        <v>117</v>
      </c>
      <c r="B41" s="53" t="s">
        <v>136</v>
      </c>
      <c r="C41" s="53" t="s">
        <v>156</v>
      </c>
      <c r="D41" s="54">
        <v>28.775000000000009</v>
      </c>
    </row>
    <row r="42" spans="1:4" x14ac:dyDescent="0.25">
      <c r="A42" s="53" t="s">
        <v>117</v>
      </c>
      <c r="B42" s="53" t="s">
        <v>136</v>
      </c>
      <c r="C42" s="53" t="s">
        <v>137</v>
      </c>
      <c r="D42" s="54">
        <v>38.355999999999987</v>
      </c>
    </row>
    <row r="43" spans="1:4" x14ac:dyDescent="0.25">
      <c r="A43" s="53" t="s">
        <v>117</v>
      </c>
      <c r="B43" s="53" t="s">
        <v>136</v>
      </c>
      <c r="C43" s="53" t="s">
        <v>139</v>
      </c>
      <c r="D43" s="54">
        <v>166.55600000000001</v>
      </c>
    </row>
    <row r="44" spans="1:4" x14ac:dyDescent="0.25">
      <c r="A44" s="53" t="s">
        <v>117</v>
      </c>
      <c r="B44" s="53" t="s">
        <v>136</v>
      </c>
      <c r="C44" s="53" t="s">
        <v>169</v>
      </c>
      <c r="D44" s="54">
        <v>8.8000000000000064E-2</v>
      </c>
    </row>
    <row r="45" spans="1:4" x14ac:dyDescent="0.25">
      <c r="A45" s="53" t="s">
        <v>117</v>
      </c>
      <c r="B45" s="53" t="s">
        <v>136</v>
      </c>
      <c r="C45" s="53" t="s">
        <v>123</v>
      </c>
      <c r="D45" s="54">
        <v>181.7760000000001</v>
      </c>
    </row>
    <row r="46" spans="1:4" x14ac:dyDescent="0.25">
      <c r="A46" s="53" t="s">
        <v>117</v>
      </c>
      <c r="B46" s="53" t="s">
        <v>136</v>
      </c>
      <c r="C46" s="53" t="s">
        <v>166</v>
      </c>
      <c r="D46" s="54">
        <v>1.5869999999999991</v>
      </c>
    </row>
    <row r="47" spans="1:4" x14ac:dyDescent="0.25">
      <c r="A47" s="53" t="s">
        <v>117</v>
      </c>
      <c r="B47" s="53" t="s">
        <v>136</v>
      </c>
      <c r="C47" s="53" t="s">
        <v>148</v>
      </c>
      <c r="D47" s="54">
        <v>81.659000000000248</v>
      </c>
    </row>
    <row r="48" spans="1:4" x14ac:dyDescent="0.25">
      <c r="A48" s="53" t="s">
        <v>117</v>
      </c>
      <c r="B48" s="53" t="s">
        <v>136</v>
      </c>
      <c r="C48" s="53" t="s">
        <v>135</v>
      </c>
      <c r="D48" s="54">
        <v>17.513999999999999</v>
      </c>
    </row>
    <row r="49" spans="1:4" x14ac:dyDescent="0.25">
      <c r="A49" s="53" t="s">
        <v>117</v>
      </c>
      <c r="B49" s="53" t="s">
        <v>136</v>
      </c>
      <c r="C49" s="53" t="s">
        <v>124</v>
      </c>
      <c r="D49" s="54">
        <v>90.592000000000084</v>
      </c>
    </row>
    <row r="50" spans="1:4" x14ac:dyDescent="0.25">
      <c r="A50" s="53" t="s">
        <v>117</v>
      </c>
      <c r="B50" s="53" t="s">
        <v>136</v>
      </c>
      <c r="C50" s="53" t="s">
        <v>167</v>
      </c>
      <c r="D50" s="54">
        <v>9.7000000000000072E-2</v>
      </c>
    </row>
    <row r="51" spans="1:4" x14ac:dyDescent="0.25">
      <c r="A51" s="53" t="s">
        <v>117</v>
      </c>
      <c r="B51" s="53" t="s">
        <v>136</v>
      </c>
      <c r="C51" s="53" t="s">
        <v>155</v>
      </c>
      <c r="D51" s="54">
        <v>12.95699999999999</v>
      </c>
    </row>
    <row r="52" spans="1:4" x14ac:dyDescent="0.25">
      <c r="A52" s="53" t="s">
        <v>117</v>
      </c>
      <c r="B52" s="53" t="s">
        <v>136</v>
      </c>
      <c r="C52" s="53" t="s">
        <v>150</v>
      </c>
      <c r="D52" s="54">
        <v>49.878</v>
      </c>
    </row>
    <row r="53" spans="1:4" x14ac:dyDescent="0.25">
      <c r="A53" s="53" t="s">
        <v>117</v>
      </c>
      <c r="B53" s="53" t="s">
        <v>136</v>
      </c>
      <c r="C53" s="53" t="s">
        <v>154</v>
      </c>
      <c r="D53" s="54">
        <v>20.625</v>
      </c>
    </row>
    <row r="54" spans="1:4" x14ac:dyDescent="0.25">
      <c r="A54" s="53" t="s">
        <v>117</v>
      </c>
      <c r="B54" s="53" t="s">
        <v>136</v>
      </c>
      <c r="C54" s="53" t="s">
        <v>143</v>
      </c>
      <c r="D54" s="54">
        <v>44.206000000000067</v>
      </c>
    </row>
    <row r="55" spans="1:4" x14ac:dyDescent="0.25">
      <c r="A55" s="53" t="s">
        <v>117</v>
      </c>
      <c r="B55" s="53" t="s">
        <v>136</v>
      </c>
      <c r="C55" s="53" t="s">
        <v>138</v>
      </c>
      <c r="D55" s="54">
        <v>54.096000000000117</v>
      </c>
    </row>
    <row r="56" spans="1:4" x14ac:dyDescent="0.25">
      <c r="A56" s="53" t="s">
        <v>117</v>
      </c>
      <c r="B56" s="53" t="s">
        <v>136</v>
      </c>
      <c r="C56" s="53" t="s">
        <v>157</v>
      </c>
      <c r="D56" s="54">
        <v>17.719999999999981</v>
      </c>
    </row>
    <row r="57" spans="1:4" x14ac:dyDescent="0.25">
      <c r="A57" s="53" t="s">
        <v>117</v>
      </c>
      <c r="B57" s="53" t="s">
        <v>136</v>
      </c>
      <c r="C57" s="53" t="s">
        <v>170</v>
      </c>
      <c r="D57" s="54">
        <v>2.5000000000000019E-2</v>
      </c>
    </row>
    <row r="58" spans="1:4" x14ac:dyDescent="0.25">
      <c r="A58" s="53" t="s">
        <v>117</v>
      </c>
      <c r="B58" s="53" t="s">
        <v>136</v>
      </c>
      <c r="C58" s="53" t="s">
        <v>125</v>
      </c>
      <c r="D58" s="54">
        <v>24.349999999999991</v>
      </c>
    </row>
    <row r="59" spans="1:4" x14ac:dyDescent="0.25">
      <c r="A59" s="53" t="s">
        <v>117</v>
      </c>
      <c r="B59" s="53" t="s">
        <v>136</v>
      </c>
      <c r="C59" s="53" t="s">
        <v>122</v>
      </c>
      <c r="D59" s="54">
        <v>132.75200000000001</v>
      </c>
    </row>
    <row r="60" spans="1:4" x14ac:dyDescent="0.25">
      <c r="A60" s="53" t="s">
        <v>117</v>
      </c>
      <c r="B60" s="53" t="s">
        <v>136</v>
      </c>
      <c r="C60" s="53" t="s">
        <v>152</v>
      </c>
      <c r="D60" s="54">
        <v>30.08199999999999</v>
      </c>
    </row>
    <row r="61" spans="1:4" x14ac:dyDescent="0.25">
      <c r="A61" s="53" t="s">
        <v>117</v>
      </c>
      <c r="B61" s="53" t="s">
        <v>136</v>
      </c>
      <c r="C61" s="53" t="s">
        <v>126</v>
      </c>
      <c r="D61" s="54">
        <v>146.58799999999979</v>
      </c>
    </row>
    <row r="62" spans="1:4" x14ac:dyDescent="0.25">
      <c r="A62" s="53" t="s">
        <v>117</v>
      </c>
      <c r="B62" s="53" t="s">
        <v>136</v>
      </c>
      <c r="C62" s="53" t="s">
        <v>131</v>
      </c>
      <c r="D62" s="54">
        <v>194.4850000000001</v>
      </c>
    </row>
    <row r="63" spans="1:4" x14ac:dyDescent="0.25">
      <c r="A63" s="53" t="s">
        <v>117</v>
      </c>
      <c r="B63" s="53" t="s">
        <v>136</v>
      </c>
      <c r="C63" s="53" t="s">
        <v>171</v>
      </c>
      <c r="D63" s="54">
        <v>2E-3</v>
      </c>
    </row>
    <row r="64" spans="1:4" x14ac:dyDescent="0.25">
      <c r="A64" s="53" t="s">
        <v>117</v>
      </c>
      <c r="B64" s="53" t="s">
        <v>136</v>
      </c>
      <c r="C64" s="53" t="s">
        <v>165</v>
      </c>
      <c r="D64" s="54">
        <v>0.124</v>
      </c>
    </row>
    <row r="65" spans="1:4" x14ac:dyDescent="0.25">
      <c r="A65" s="53" t="s">
        <v>117</v>
      </c>
      <c r="B65" s="53" t="s">
        <v>136</v>
      </c>
      <c r="C65" s="53" t="s">
        <v>132</v>
      </c>
      <c r="D65" s="54">
        <v>158.38700000000011</v>
      </c>
    </row>
    <row r="66" spans="1:4" x14ac:dyDescent="0.25">
      <c r="A66" s="53" t="s">
        <v>117</v>
      </c>
      <c r="B66" s="53" t="s">
        <v>136</v>
      </c>
      <c r="C66" s="53" t="s">
        <v>168</v>
      </c>
      <c r="D66" s="54">
        <v>3.0000000000000001E-3</v>
      </c>
    </row>
    <row r="67" spans="1:4" x14ac:dyDescent="0.25">
      <c r="A67" s="53" t="s">
        <v>117</v>
      </c>
      <c r="B67" s="53" t="s">
        <v>127</v>
      </c>
      <c r="C67" s="53" t="s">
        <v>119</v>
      </c>
      <c r="D67" s="54">
        <v>9.6000000000000002E-2</v>
      </c>
    </row>
    <row r="68" spans="1:4" x14ac:dyDescent="0.25">
      <c r="A68" s="53" t="s">
        <v>117</v>
      </c>
      <c r="B68" s="53" t="s">
        <v>127</v>
      </c>
      <c r="C68" s="53" t="s">
        <v>124</v>
      </c>
      <c r="D68" s="54">
        <v>3.0000000000000001E-3</v>
      </c>
    </row>
    <row r="69" spans="1:4" x14ac:dyDescent="0.25">
      <c r="A69" s="53" t="s">
        <v>117</v>
      </c>
      <c r="B69" s="53" t="s">
        <v>144</v>
      </c>
      <c r="C69" s="53" t="s">
        <v>119</v>
      </c>
      <c r="D69" s="54">
        <v>0.06</v>
      </c>
    </row>
    <row r="70" spans="1:4" x14ac:dyDescent="0.25">
      <c r="A70" s="53" t="s">
        <v>117</v>
      </c>
      <c r="B70" s="53" t="s">
        <v>144</v>
      </c>
      <c r="C70" s="53" t="s">
        <v>127</v>
      </c>
      <c r="D70" s="54">
        <v>1.9E-2</v>
      </c>
    </row>
    <row r="71" spans="1:4" x14ac:dyDescent="0.25">
      <c r="A71" s="53" t="s">
        <v>117</v>
      </c>
      <c r="B71" s="53" t="s">
        <v>144</v>
      </c>
      <c r="C71" s="53" t="s">
        <v>122</v>
      </c>
      <c r="D71" s="54">
        <v>0.35599999999999998</v>
      </c>
    </row>
    <row r="72" spans="1:4" x14ac:dyDescent="0.25">
      <c r="A72" s="53" t="s">
        <v>117</v>
      </c>
      <c r="B72" s="53" t="s">
        <v>147</v>
      </c>
      <c r="C72" s="53" t="s">
        <v>120</v>
      </c>
      <c r="D72" s="54">
        <v>5.8320000000000007</v>
      </c>
    </row>
    <row r="73" spans="1:4" x14ac:dyDescent="0.25">
      <c r="A73" s="53" t="s">
        <v>117</v>
      </c>
      <c r="B73" s="53" t="s">
        <v>147</v>
      </c>
      <c r="C73" s="53" t="s">
        <v>142</v>
      </c>
      <c r="D73" s="54">
        <v>0.224</v>
      </c>
    </row>
    <row r="74" spans="1:4" x14ac:dyDescent="0.25">
      <c r="A74" s="53" t="s">
        <v>117</v>
      </c>
      <c r="B74" s="53" t="s">
        <v>147</v>
      </c>
      <c r="C74" s="53" t="s">
        <v>133</v>
      </c>
      <c r="D74" s="54">
        <v>15.762</v>
      </c>
    </row>
    <row r="75" spans="1:4" x14ac:dyDescent="0.25">
      <c r="A75" s="53" t="s">
        <v>117</v>
      </c>
      <c r="B75" s="53" t="s">
        <v>147</v>
      </c>
      <c r="C75" s="53" t="s">
        <v>130</v>
      </c>
      <c r="D75" s="54">
        <v>50.154999999999987</v>
      </c>
    </row>
    <row r="76" spans="1:4" x14ac:dyDescent="0.25">
      <c r="A76" s="53" t="s">
        <v>117</v>
      </c>
      <c r="B76" s="53" t="s">
        <v>147</v>
      </c>
      <c r="C76" s="53" t="s">
        <v>151</v>
      </c>
      <c r="D76" s="54">
        <v>0.13800000000000001</v>
      </c>
    </row>
    <row r="77" spans="1:4" x14ac:dyDescent="0.25">
      <c r="A77" s="53" t="s">
        <v>117</v>
      </c>
      <c r="B77" s="53" t="s">
        <v>147</v>
      </c>
      <c r="C77" s="53" t="s">
        <v>153</v>
      </c>
      <c r="D77" s="54">
        <v>4.2999999999999997E-2</v>
      </c>
    </row>
    <row r="78" spans="1:4" x14ac:dyDescent="0.25">
      <c r="A78" s="53" t="s">
        <v>117</v>
      </c>
      <c r="B78" s="53" t="s">
        <v>147</v>
      </c>
      <c r="C78" s="53" t="s">
        <v>134</v>
      </c>
      <c r="D78" s="54">
        <v>0.24399999999999999</v>
      </c>
    </row>
    <row r="79" spans="1:4" x14ac:dyDescent="0.25">
      <c r="A79" s="53" t="s">
        <v>117</v>
      </c>
      <c r="B79" s="53" t="s">
        <v>147</v>
      </c>
      <c r="C79" s="53" t="s">
        <v>136</v>
      </c>
      <c r="D79" s="54">
        <v>0.19900000000000001</v>
      </c>
    </row>
    <row r="80" spans="1:4" x14ac:dyDescent="0.25">
      <c r="A80" s="53" t="s">
        <v>117</v>
      </c>
      <c r="B80" s="53" t="s">
        <v>147</v>
      </c>
      <c r="C80" s="53" t="s">
        <v>127</v>
      </c>
      <c r="D80" s="54">
        <v>19.741</v>
      </c>
    </row>
    <row r="81" spans="1:4" x14ac:dyDescent="0.25">
      <c r="A81" s="53" t="s">
        <v>117</v>
      </c>
      <c r="B81" s="53" t="s">
        <v>147</v>
      </c>
      <c r="C81" s="53" t="s">
        <v>160</v>
      </c>
      <c r="D81" s="54">
        <v>9.0000000000000011E-3</v>
      </c>
    </row>
    <row r="82" spans="1:4" x14ac:dyDescent="0.25">
      <c r="A82" s="53" t="s">
        <v>117</v>
      </c>
      <c r="B82" s="53" t="s">
        <v>147</v>
      </c>
      <c r="C82" s="53" t="s">
        <v>162</v>
      </c>
      <c r="D82" s="54">
        <v>3.5000000000000003E-2</v>
      </c>
    </row>
    <row r="83" spans="1:4" x14ac:dyDescent="0.25">
      <c r="A83" s="53" t="s">
        <v>117</v>
      </c>
      <c r="B83" s="53" t="s">
        <v>147</v>
      </c>
      <c r="C83" s="53" t="s">
        <v>161</v>
      </c>
      <c r="D83" s="54">
        <v>9.6000000000000002E-2</v>
      </c>
    </row>
    <row r="84" spans="1:4" x14ac:dyDescent="0.25">
      <c r="A84" s="53" t="s">
        <v>117</v>
      </c>
      <c r="B84" s="53" t="s">
        <v>147</v>
      </c>
      <c r="C84" s="53" t="s">
        <v>158</v>
      </c>
      <c r="D84" s="54">
        <v>0.11</v>
      </c>
    </row>
    <row r="85" spans="1:4" x14ac:dyDescent="0.25">
      <c r="A85" s="53" t="s">
        <v>117</v>
      </c>
      <c r="B85" s="53" t="s">
        <v>147</v>
      </c>
      <c r="C85" s="53" t="s">
        <v>146</v>
      </c>
      <c r="D85" s="54">
        <v>0.77500000000000036</v>
      </c>
    </row>
    <row r="86" spans="1:4" x14ac:dyDescent="0.25">
      <c r="A86" s="53" t="s">
        <v>117</v>
      </c>
      <c r="B86" s="53" t="s">
        <v>147</v>
      </c>
      <c r="C86" s="53" t="s">
        <v>121</v>
      </c>
      <c r="D86" s="54">
        <v>7.9320000000000013</v>
      </c>
    </row>
    <row r="87" spans="1:4" x14ac:dyDescent="0.25">
      <c r="A87" s="53" t="s">
        <v>117</v>
      </c>
      <c r="B87" s="53" t="s">
        <v>147</v>
      </c>
      <c r="C87" s="53" t="s">
        <v>129</v>
      </c>
      <c r="D87" s="54">
        <v>0.19800000000000001</v>
      </c>
    </row>
    <row r="88" spans="1:4" x14ac:dyDescent="0.25">
      <c r="A88" s="53" t="s">
        <v>117</v>
      </c>
      <c r="B88" s="53" t="s">
        <v>147</v>
      </c>
      <c r="C88" s="53" t="s">
        <v>156</v>
      </c>
      <c r="D88" s="54">
        <v>0.93000000000000016</v>
      </c>
    </row>
    <row r="89" spans="1:4" x14ac:dyDescent="0.25">
      <c r="A89" s="53" t="s">
        <v>117</v>
      </c>
      <c r="B89" s="53" t="s">
        <v>147</v>
      </c>
      <c r="C89" s="53" t="s">
        <v>135</v>
      </c>
      <c r="D89" s="54">
        <v>4.5870000000000006</v>
      </c>
    </row>
    <row r="90" spans="1:4" x14ac:dyDescent="0.25">
      <c r="A90" s="53" t="s">
        <v>117</v>
      </c>
      <c r="B90" s="53" t="s">
        <v>147</v>
      </c>
      <c r="C90" s="53" t="s">
        <v>155</v>
      </c>
      <c r="D90" s="54">
        <v>0.32300000000000012</v>
      </c>
    </row>
    <row r="91" spans="1:4" x14ac:dyDescent="0.25">
      <c r="A91" s="53" t="s">
        <v>117</v>
      </c>
      <c r="B91" s="53" t="s">
        <v>147</v>
      </c>
      <c r="C91" s="53" t="s">
        <v>154</v>
      </c>
      <c r="D91" s="54">
        <v>0.31700000000000012</v>
      </c>
    </row>
    <row r="92" spans="1:4" x14ac:dyDescent="0.25">
      <c r="A92" s="53" t="s">
        <v>117</v>
      </c>
      <c r="B92" s="53" t="s">
        <v>147</v>
      </c>
      <c r="C92" s="53" t="s">
        <v>143</v>
      </c>
      <c r="D92" s="54">
        <v>0.86000000000000032</v>
      </c>
    </row>
    <row r="93" spans="1:4" x14ac:dyDescent="0.25">
      <c r="A93" s="53" t="s">
        <v>117</v>
      </c>
      <c r="B93" s="53" t="s">
        <v>147</v>
      </c>
      <c r="C93" s="53" t="s">
        <v>122</v>
      </c>
      <c r="D93" s="54">
        <v>14.906000000000001</v>
      </c>
    </row>
    <row r="94" spans="1:4" x14ac:dyDescent="0.25">
      <c r="A94" s="53" t="s">
        <v>117</v>
      </c>
      <c r="B94" s="53" t="s">
        <v>147</v>
      </c>
      <c r="C94" s="53" t="s">
        <v>152</v>
      </c>
      <c r="D94" s="54">
        <v>0.65200000000000014</v>
      </c>
    </row>
    <row r="95" spans="1:4" x14ac:dyDescent="0.25">
      <c r="A95" s="53" t="s">
        <v>117</v>
      </c>
      <c r="B95" s="53" t="s">
        <v>147</v>
      </c>
      <c r="C95" s="53" t="s">
        <v>126</v>
      </c>
      <c r="D95" s="54">
        <v>5.8079999999999981</v>
      </c>
    </row>
    <row r="96" spans="1:4" x14ac:dyDescent="0.25">
      <c r="A96" s="53" t="s">
        <v>117</v>
      </c>
      <c r="B96" s="53" t="s">
        <v>147</v>
      </c>
      <c r="C96" s="53" t="s">
        <v>165</v>
      </c>
      <c r="D96" s="54">
        <v>4.0000000000000001E-3</v>
      </c>
    </row>
    <row r="97" spans="1:4" x14ac:dyDescent="0.25">
      <c r="A97" s="53" t="s">
        <v>117</v>
      </c>
      <c r="B97" s="53" t="s">
        <v>121</v>
      </c>
      <c r="C97" s="53" t="s">
        <v>120</v>
      </c>
      <c r="D97" s="54">
        <v>2.5159999999999991</v>
      </c>
    </row>
    <row r="98" spans="1:4" x14ac:dyDescent="0.25">
      <c r="A98" s="53" t="s">
        <v>117</v>
      </c>
      <c r="B98" s="53" t="s">
        <v>121</v>
      </c>
      <c r="C98" s="53" t="s">
        <v>142</v>
      </c>
      <c r="D98" s="54">
        <v>3.0000000000000001E-3</v>
      </c>
    </row>
    <row r="99" spans="1:4" x14ac:dyDescent="0.25">
      <c r="A99" s="53" t="s">
        <v>117</v>
      </c>
      <c r="B99" s="53" t="s">
        <v>121</v>
      </c>
      <c r="C99" s="53" t="s">
        <v>119</v>
      </c>
      <c r="D99" s="54">
        <v>0.30900000000000011</v>
      </c>
    </row>
    <row r="100" spans="1:4" x14ac:dyDescent="0.25">
      <c r="A100" s="53" t="s">
        <v>117</v>
      </c>
      <c r="B100" s="53" t="s">
        <v>121</v>
      </c>
      <c r="C100" s="53" t="s">
        <v>133</v>
      </c>
      <c r="D100" s="54">
        <v>0.27100000000000007</v>
      </c>
    </row>
    <row r="101" spans="1:4" x14ac:dyDescent="0.25">
      <c r="A101" s="53" t="s">
        <v>117</v>
      </c>
      <c r="B101" s="53" t="s">
        <v>121</v>
      </c>
      <c r="C101" s="53" t="s">
        <v>151</v>
      </c>
      <c r="D101" s="54">
        <v>1E-3</v>
      </c>
    </row>
    <row r="102" spans="1:4" x14ac:dyDescent="0.25">
      <c r="A102" s="53" t="s">
        <v>117</v>
      </c>
      <c r="B102" s="53" t="s">
        <v>121</v>
      </c>
      <c r="C102" s="53" t="s">
        <v>134</v>
      </c>
      <c r="D102" s="54">
        <v>0.23</v>
      </c>
    </row>
    <row r="103" spans="1:4" x14ac:dyDescent="0.25">
      <c r="A103" s="53" t="s">
        <v>117</v>
      </c>
      <c r="B103" s="53" t="s">
        <v>121</v>
      </c>
      <c r="C103" s="53" t="s">
        <v>136</v>
      </c>
      <c r="D103" s="54">
        <v>0.53200000000000003</v>
      </c>
    </row>
    <row r="104" spans="1:4" x14ac:dyDescent="0.25">
      <c r="A104" s="53" t="s">
        <v>117</v>
      </c>
      <c r="B104" s="53" t="s">
        <v>121</v>
      </c>
      <c r="C104" s="53" t="s">
        <v>127</v>
      </c>
      <c r="D104" s="54">
        <v>19.212</v>
      </c>
    </row>
    <row r="105" spans="1:4" x14ac:dyDescent="0.25">
      <c r="A105" s="53" t="s">
        <v>117</v>
      </c>
      <c r="B105" s="53" t="s">
        <v>121</v>
      </c>
      <c r="C105" s="53" t="s">
        <v>161</v>
      </c>
      <c r="D105" s="54">
        <v>1E-3</v>
      </c>
    </row>
    <row r="106" spans="1:4" x14ac:dyDescent="0.25">
      <c r="A106" s="53" t="s">
        <v>117</v>
      </c>
      <c r="B106" s="53" t="s">
        <v>121</v>
      </c>
      <c r="C106" s="53" t="s">
        <v>147</v>
      </c>
      <c r="D106" s="54">
        <v>1.069</v>
      </c>
    </row>
    <row r="107" spans="1:4" x14ac:dyDescent="0.25">
      <c r="A107" s="53" t="s">
        <v>117</v>
      </c>
      <c r="B107" s="53" t="s">
        <v>121</v>
      </c>
      <c r="C107" s="53" t="s">
        <v>158</v>
      </c>
      <c r="D107" s="54">
        <v>0.45600000000000018</v>
      </c>
    </row>
    <row r="108" spans="1:4" x14ac:dyDescent="0.25">
      <c r="A108" s="53" t="s">
        <v>117</v>
      </c>
      <c r="B108" s="53" t="s">
        <v>121</v>
      </c>
      <c r="C108" s="53" t="s">
        <v>146</v>
      </c>
      <c r="D108" s="54">
        <v>1.0999999999999999E-2</v>
      </c>
    </row>
    <row r="109" spans="1:4" x14ac:dyDescent="0.25">
      <c r="A109" s="53" t="s">
        <v>117</v>
      </c>
      <c r="B109" s="53" t="s">
        <v>121</v>
      </c>
      <c r="C109" s="53" t="s">
        <v>129</v>
      </c>
      <c r="D109" s="54">
        <v>1.2999999999999999E-2</v>
      </c>
    </row>
    <row r="110" spans="1:4" x14ac:dyDescent="0.25">
      <c r="A110" s="53" t="s">
        <v>117</v>
      </c>
      <c r="B110" s="53" t="s">
        <v>121</v>
      </c>
      <c r="C110" s="53" t="s">
        <v>123</v>
      </c>
      <c r="D110" s="54">
        <v>5.800000000000001E-2</v>
      </c>
    </row>
    <row r="111" spans="1:4" x14ac:dyDescent="0.25">
      <c r="A111" s="53" t="s">
        <v>117</v>
      </c>
      <c r="B111" s="53" t="s">
        <v>121</v>
      </c>
      <c r="C111" s="53" t="s">
        <v>135</v>
      </c>
      <c r="D111" s="54">
        <v>0.16400000000000001</v>
      </c>
    </row>
    <row r="112" spans="1:4" x14ac:dyDescent="0.25">
      <c r="A112" s="53" t="s">
        <v>117</v>
      </c>
      <c r="B112" s="53" t="s">
        <v>121</v>
      </c>
      <c r="C112" s="53" t="s">
        <v>124</v>
      </c>
      <c r="D112" s="54">
        <v>10.522</v>
      </c>
    </row>
    <row r="113" spans="1:4" x14ac:dyDescent="0.25">
      <c r="A113" s="53" t="s">
        <v>117</v>
      </c>
      <c r="B113" s="53" t="s">
        <v>121</v>
      </c>
      <c r="C113" s="53" t="s">
        <v>155</v>
      </c>
      <c r="D113" s="54">
        <v>2E-3</v>
      </c>
    </row>
    <row r="114" spans="1:4" x14ac:dyDescent="0.25">
      <c r="A114" s="53" t="s">
        <v>117</v>
      </c>
      <c r="B114" s="53" t="s">
        <v>121</v>
      </c>
      <c r="C114" s="53" t="s">
        <v>154</v>
      </c>
      <c r="D114" s="54">
        <v>1E-3</v>
      </c>
    </row>
    <row r="115" spans="1:4" x14ac:dyDescent="0.25">
      <c r="A115" s="53" t="s">
        <v>117</v>
      </c>
      <c r="B115" s="53" t="s">
        <v>121</v>
      </c>
      <c r="C115" s="53" t="s">
        <v>143</v>
      </c>
      <c r="D115" s="54">
        <v>7.1000000000000008E-2</v>
      </c>
    </row>
    <row r="116" spans="1:4" x14ac:dyDescent="0.25">
      <c r="A116" s="53" t="s">
        <v>117</v>
      </c>
      <c r="B116" s="53" t="s">
        <v>121</v>
      </c>
      <c r="C116" s="53" t="s">
        <v>125</v>
      </c>
      <c r="D116" s="54">
        <v>2.5999999999999999E-2</v>
      </c>
    </row>
    <row r="117" spans="1:4" x14ac:dyDescent="0.25">
      <c r="A117" s="53" t="s">
        <v>117</v>
      </c>
      <c r="B117" s="53" t="s">
        <v>121</v>
      </c>
      <c r="C117" s="53" t="s">
        <v>122</v>
      </c>
      <c r="D117" s="54">
        <v>4.2959999999999976</v>
      </c>
    </row>
    <row r="118" spans="1:4" x14ac:dyDescent="0.25">
      <c r="A118" s="53" t="s">
        <v>117</v>
      </c>
      <c r="B118" s="53" t="s">
        <v>121</v>
      </c>
      <c r="C118" s="53" t="s">
        <v>152</v>
      </c>
      <c r="D118" s="54">
        <v>2.0000000000000011E-2</v>
      </c>
    </row>
    <row r="119" spans="1:4" x14ac:dyDescent="0.25">
      <c r="A119" s="53" t="s">
        <v>117</v>
      </c>
      <c r="B119" s="53" t="s">
        <v>121</v>
      </c>
      <c r="C119" s="53" t="s">
        <v>126</v>
      </c>
      <c r="D119" s="54">
        <v>1.373999999999999</v>
      </c>
    </row>
    <row r="120" spans="1:4" x14ac:dyDescent="0.25">
      <c r="A120" s="53" t="s">
        <v>117</v>
      </c>
      <c r="B120" s="53" t="s">
        <v>129</v>
      </c>
      <c r="C120" s="53" t="s">
        <v>127</v>
      </c>
      <c r="D120" s="54">
        <v>5.3500000000000014</v>
      </c>
    </row>
    <row r="121" spans="1:4" x14ac:dyDescent="0.25">
      <c r="A121" s="53" t="s">
        <v>117</v>
      </c>
      <c r="B121" s="53" t="s">
        <v>129</v>
      </c>
      <c r="C121" s="53" t="s">
        <v>121</v>
      </c>
      <c r="D121" s="54">
        <v>2.8000000000000001E-2</v>
      </c>
    </row>
    <row r="122" spans="1:4" x14ac:dyDescent="0.25">
      <c r="A122" s="53" t="s">
        <v>117</v>
      </c>
      <c r="B122" s="53" t="s">
        <v>129</v>
      </c>
      <c r="C122" s="53" t="s">
        <v>156</v>
      </c>
      <c r="D122" s="54">
        <v>5.1000000000000011E-2</v>
      </c>
    </row>
    <row r="123" spans="1:4" x14ac:dyDescent="0.25">
      <c r="A123" s="53" t="s">
        <v>117</v>
      </c>
      <c r="B123" s="53" t="s">
        <v>129</v>
      </c>
      <c r="C123" s="53" t="s">
        <v>135</v>
      </c>
      <c r="D123" s="54">
        <v>0.22</v>
      </c>
    </row>
    <row r="124" spans="1:4" x14ac:dyDescent="0.25">
      <c r="A124" s="53" t="s">
        <v>117</v>
      </c>
      <c r="B124" s="53" t="s">
        <v>129</v>
      </c>
      <c r="C124" s="53" t="s">
        <v>122</v>
      </c>
      <c r="D124" s="54">
        <v>8.048</v>
      </c>
    </row>
    <row r="125" spans="1:4" x14ac:dyDescent="0.25">
      <c r="A125" s="53" t="s">
        <v>117</v>
      </c>
      <c r="B125" s="53" t="s">
        <v>137</v>
      </c>
      <c r="C125" s="53" t="s">
        <v>120</v>
      </c>
      <c r="D125" s="54">
        <v>23.39500000000001</v>
      </c>
    </row>
    <row r="126" spans="1:4" x14ac:dyDescent="0.25">
      <c r="A126" s="53" t="s">
        <v>117</v>
      </c>
      <c r="B126" s="53" t="s">
        <v>137</v>
      </c>
      <c r="C126" s="53" t="s">
        <v>119</v>
      </c>
      <c r="D126" s="54">
        <v>0.75700000000000001</v>
      </c>
    </row>
    <row r="127" spans="1:4" x14ac:dyDescent="0.25">
      <c r="A127" s="53" t="s">
        <v>117</v>
      </c>
      <c r="B127" s="53" t="s">
        <v>137</v>
      </c>
      <c r="C127" s="53" t="s">
        <v>133</v>
      </c>
      <c r="D127" s="54">
        <v>0.20899999999999999</v>
      </c>
    </row>
    <row r="128" spans="1:4" x14ac:dyDescent="0.25">
      <c r="A128" s="53" t="s">
        <v>117</v>
      </c>
      <c r="B128" s="53" t="s">
        <v>137</v>
      </c>
      <c r="C128" s="53" t="s">
        <v>151</v>
      </c>
      <c r="D128" s="54">
        <v>7.2000000000000022E-2</v>
      </c>
    </row>
    <row r="129" spans="1:4" x14ac:dyDescent="0.25">
      <c r="A129" s="53" t="s">
        <v>117</v>
      </c>
      <c r="B129" s="53" t="s">
        <v>137</v>
      </c>
      <c r="C129" s="53" t="s">
        <v>134</v>
      </c>
      <c r="D129" s="54">
        <v>0.42800000000000021</v>
      </c>
    </row>
    <row r="130" spans="1:4" x14ac:dyDescent="0.25">
      <c r="A130" s="53" t="s">
        <v>117</v>
      </c>
      <c r="B130" s="53" t="s">
        <v>137</v>
      </c>
      <c r="C130" s="53" t="s">
        <v>127</v>
      </c>
      <c r="D130" s="54">
        <v>10.968999999999999</v>
      </c>
    </row>
    <row r="131" spans="1:4" x14ac:dyDescent="0.25">
      <c r="A131" s="53" t="s">
        <v>117</v>
      </c>
      <c r="B131" s="53" t="s">
        <v>137</v>
      </c>
      <c r="C131" s="53" t="s">
        <v>141</v>
      </c>
      <c r="D131" s="54">
        <v>4.2000000000000003E-2</v>
      </c>
    </row>
    <row r="132" spans="1:4" x14ac:dyDescent="0.25">
      <c r="A132" s="53" t="s">
        <v>117</v>
      </c>
      <c r="B132" s="53" t="s">
        <v>137</v>
      </c>
      <c r="C132" s="53" t="s">
        <v>158</v>
      </c>
      <c r="D132" s="54">
        <v>1.6E-2</v>
      </c>
    </row>
    <row r="133" spans="1:4" x14ac:dyDescent="0.25">
      <c r="A133" s="53" t="s">
        <v>117</v>
      </c>
      <c r="B133" s="53" t="s">
        <v>137</v>
      </c>
      <c r="C133" s="53" t="s">
        <v>146</v>
      </c>
      <c r="D133" s="54">
        <v>4.0000000000000001E-3</v>
      </c>
    </row>
    <row r="134" spans="1:4" x14ac:dyDescent="0.25">
      <c r="A134" s="53" t="s">
        <v>117</v>
      </c>
      <c r="B134" s="53" t="s">
        <v>137</v>
      </c>
      <c r="C134" s="53" t="s">
        <v>140</v>
      </c>
      <c r="D134" s="54">
        <v>1.2999999999999999E-2</v>
      </c>
    </row>
    <row r="135" spans="1:4" x14ac:dyDescent="0.25">
      <c r="A135" s="53" t="s">
        <v>117</v>
      </c>
      <c r="B135" s="53" t="s">
        <v>137</v>
      </c>
      <c r="C135" s="53" t="s">
        <v>121</v>
      </c>
      <c r="D135" s="54">
        <v>3.9E-2</v>
      </c>
    </row>
    <row r="136" spans="1:4" x14ac:dyDescent="0.25">
      <c r="A136" s="53" t="s">
        <v>117</v>
      </c>
      <c r="B136" s="53" t="s">
        <v>137</v>
      </c>
      <c r="C136" s="53" t="s">
        <v>135</v>
      </c>
      <c r="D136" s="54">
        <v>2.512</v>
      </c>
    </row>
    <row r="137" spans="1:4" x14ac:dyDescent="0.25">
      <c r="A137" s="53" t="s">
        <v>117</v>
      </c>
      <c r="B137" s="53" t="s">
        <v>137</v>
      </c>
      <c r="C137" s="53" t="s">
        <v>124</v>
      </c>
      <c r="D137" s="54">
        <v>6.0000000000000001E-3</v>
      </c>
    </row>
    <row r="138" spans="1:4" x14ac:dyDescent="0.25">
      <c r="A138" s="53" t="s">
        <v>117</v>
      </c>
      <c r="B138" s="53" t="s">
        <v>137</v>
      </c>
      <c r="C138" s="53" t="s">
        <v>155</v>
      </c>
      <c r="D138" s="54">
        <v>2E-3</v>
      </c>
    </row>
    <row r="139" spans="1:4" x14ac:dyDescent="0.25">
      <c r="A139" s="53" t="s">
        <v>117</v>
      </c>
      <c r="B139" s="53" t="s">
        <v>137</v>
      </c>
      <c r="C139" s="53" t="s">
        <v>154</v>
      </c>
      <c r="D139" s="54">
        <v>2.571999999999997</v>
      </c>
    </row>
    <row r="140" spans="1:4" x14ac:dyDescent="0.25">
      <c r="A140" s="53" t="s">
        <v>117</v>
      </c>
      <c r="B140" s="53" t="s">
        <v>137</v>
      </c>
      <c r="C140" s="53" t="s">
        <v>143</v>
      </c>
      <c r="D140" s="54">
        <v>5.0000000000000001E-3</v>
      </c>
    </row>
    <row r="141" spans="1:4" x14ac:dyDescent="0.25">
      <c r="A141" s="53" t="s">
        <v>117</v>
      </c>
      <c r="B141" s="53" t="s">
        <v>137</v>
      </c>
      <c r="C141" s="53" t="s">
        <v>122</v>
      </c>
      <c r="D141" s="54">
        <v>229.37299999999979</v>
      </c>
    </row>
    <row r="142" spans="1:4" x14ac:dyDescent="0.25">
      <c r="A142" s="53" t="s">
        <v>117</v>
      </c>
      <c r="B142" s="53" t="s">
        <v>137</v>
      </c>
      <c r="C142" s="53" t="s">
        <v>126</v>
      </c>
      <c r="D142" s="54">
        <v>14.35399999999998</v>
      </c>
    </row>
    <row r="143" spans="1:4" x14ac:dyDescent="0.25">
      <c r="A143" s="53" t="s">
        <v>117</v>
      </c>
      <c r="B143" s="53" t="s">
        <v>125</v>
      </c>
      <c r="C143" s="53" t="s">
        <v>120</v>
      </c>
      <c r="D143" s="54">
        <v>371.86399999999998</v>
      </c>
    </row>
    <row r="144" spans="1:4" x14ac:dyDescent="0.25">
      <c r="A144" s="53" t="s">
        <v>117</v>
      </c>
      <c r="B144" s="53" t="s">
        <v>125</v>
      </c>
      <c r="C144" s="53" t="s">
        <v>142</v>
      </c>
      <c r="D144" s="54">
        <v>29.003000000000011</v>
      </c>
    </row>
    <row r="145" spans="1:4" x14ac:dyDescent="0.25">
      <c r="A145" s="53" t="s">
        <v>117</v>
      </c>
      <c r="B145" s="53" t="s">
        <v>125</v>
      </c>
      <c r="C145" s="53" t="s">
        <v>145</v>
      </c>
      <c r="D145" s="54">
        <v>7.3529999999999989</v>
      </c>
    </row>
    <row r="146" spans="1:4" x14ac:dyDescent="0.25">
      <c r="A146" s="53" t="s">
        <v>117</v>
      </c>
      <c r="B146" s="53" t="s">
        <v>125</v>
      </c>
      <c r="C146" s="53" t="s">
        <v>119</v>
      </c>
      <c r="D146" s="54">
        <v>91.989000000000033</v>
      </c>
    </row>
    <row r="147" spans="1:4" x14ac:dyDescent="0.25">
      <c r="A147" s="53" t="s">
        <v>117</v>
      </c>
      <c r="B147" s="53" t="s">
        <v>125</v>
      </c>
      <c r="C147" s="53" t="s">
        <v>133</v>
      </c>
      <c r="D147" s="54">
        <v>142.92200000000011</v>
      </c>
    </row>
    <row r="148" spans="1:4" x14ac:dyDescent="0.25">
      <c r="A148" s="53" t="s">
        <v>117</v>
      </c>
      <c r="B148" s="53" t="s">
        <v>125</v>
      </c>
      <c r="C148" s="53" t="s">
        <v>149</v>
      </c>
      <c r="D148" s="54">
        <v>42.700999999999972</v>
      </c>
    </row>
    <row r="149" spans="1:4" x14ac:dyDescent="0.25">
      <c r="A149" s="53" t="s">
        <v>117</v>
      </c>
      <c r="B149" s="53" t="s">
        <v>125</v>
      </c>
      <c r="C149" s="53" t="s">
        <v>130</v>
      </c>
      <c r="D149" s="54">
        <v>522.61100000000022</v>
      </c>
    </row>
    <row r="150" spans="1:4" x14ac:dyDescent="0.25">
      <c r="A150" s="53" t="s">
        <v>117</v>
      </c>
      <c r="B150" s="53" t="s">
        <v>125</v>
      </c>
      <c r="C150" s="53" t="s">
        <v>151</v>
      </c>
      <c r="D150" s="54">
        <v>12.336</v>
      </c>
    </row>
    <row r="151" spans="1:4" x14ac:dyDescent="0.25">
      <c r="A151" s="53" t="s">
        <v>117</v>
      </c>
      <c r="B151" s="53" t="s">
        <v>125</v>
      </c>
      <c r="C151" s="53" t="s">
        <v>153</v>
      </c>
      <c r="D151" s="54">
        <v>10.268000000000001</v>
      </c>
    </row>
    <row r="152" spans="1:4" x14ac:dyDescent="0.25">
      <c r="A152" s="53" t="s">
        <v>117</v>
      </c>
      <c r="B152" s="53" t="s">
        <v>125</v>
      </c>
      <c r="C152" s="53" t="s">
        <v>134</v>
      </c>
      <c r="D152" s="54">
        <v>2.4319999999999999</v>
      </c>
    </row>
    <row r="153" spans="1:4" x14ac:dyDescent="0.25">
      <c r="A153" s="53" t="s">
        <v>117</v>
      </c>
      <c r="B153" s="53" t="s">
        <v>125</v>
      </c>
      <c r="C153" s="53" t="s">
        <v>136</v>
      </c>
      <c r="D153" s="54">
        <v>9.0220000000000002</v>
      </c>
    </row>
    <row r="154" spans="1:4" x14ac:dyDescent="0.25">
      <c r="A154" s="53" t="s">
        <v>117</v>
      </c>
      <c r="B154" s="53" t="s">
        <v>125</v>
      </c>
      <c r="C154" s="53" t="s">
        <v>127</v>
      </c>
      <c r="D154" s="54">
        <v>697.20100000000002</v>
      </c>
    </row>
    <row r="155" spans="1:4" x14ac:dyDescent="0.25">
      <c r="A155" s="53" t="s">
        <v>117</v>
      </c>
      <c r="B155" s="53" t="s">
        <v>125</v>
      </c>
      <c r="C155" s="53" t="s">
        <v>160</v>
      </c>
      <c r="D155" s="54">
        <v>0.98600000000000021</v>
      </c>
    </row>
    <row r="156" spans="1:4" x14ac:dyDescent="0.25">
      <c r="A156" s="53" t="s">
        <v>117</v>
      </c>
      <c r="B156" s="53" t="s">
        <v>125</v>
      </c>
      <c r="C156" s="53" t="s">
        <v>162</v>
      </c>
      <c r="D156" s="54">
        <v>9.1869999999999976</v>
      </c>
    </row>
    <row r="157" spans="1:4" x14ac:dyDescent="0.25">
      <c r="A157" s="53" t="s">
        <v>117</v>
      </c>
      <c r="B157" s="53" t="s">
        <v>125</v>
      </c>
      <c r="C157" s="53" t="s">
        <v>161</v>
      </c>
      <c r="D157" s="54">
        <v>22.088000000000001</v>
      </c>
    </row>
    <row r="158" spans="1:4" x14ac:dyDescent="0.25">
      <c r="A158" s="53" t="s">
        <v>117</v>
      </c>
      <c r="B158" s="53" t="s">
        <v>125</v>
      </c>
      <c r="C158" s="53" t="s">
        <v>163</v>
      </c>
      <c r="D158" s="54">
        <v>0.40400000000000003</v>
      </c>
    </row>
    <row r="159" spans="1:4" x14ac:dyDescent="0.25">
      <c r="A159" s="53" t="s">
        <v>117</v>
      </c>
      <c r="B159" s="53" t="s">
        <v>125</v>
      </c>
      <c r="C159" s="53" t="s">
        <v>141</v>
      </c>
      <c r="D159" s="54">
        <v>16.315999999999999</v>
      </c>
    </row>
    <row r="160" spans="1:4" x14ac:dyDescent="0.25">
      <c r="A160" s="53" t="s">
        <v>117</v>
      </c>
      <c r="B160" s="53" t="s">
        <v>125</v>
      </c>
      <c r="C160" s="53" t="s">
        <v>147</v>
      </c>
      <c r="D160" s="54">
        <v>93.519000000000005</v>
      </c>
    </row>
    <row r="161" spans="1:4" x14ac:dyDescent="0.25">
      <c r="A161" s="53" t="s">
        <v>117</v>
      </c>
      <c r="B161" s="53" t="s">
        <v>125</v>
      </c>
      <c r="C161" s="53" t="s">
        <v>164</v>
      </c>
      <c r="D161" s="54">
        <v>25.965</v>
      </c>
    </row>
    <row r="162" spans="1:4" x14ac:dyDescent="0.25">
      <c r="A162" s="53" t="s">
        <v>117</v>
      </c>
      <c r="B162" s="53" t="s">
        <v>125</v>
      </c>
      <c r="C162" s="53" t="s">
        <v>158</v>
      </c>
      <c r="D162" s="54">
        <v>9.2109999999999967</v>
      </c>
    </row>
    <row r="163" spans="1:4" x14ac:dyDescent="0.25">
      <c r="A163" s="53" t="s">
        <v>117</v>
      </c>
      <c r="B163" s="53" t="s">
        <v>125</v>
      </c>
      <c r="C163" s="53" t="s">
        <v>146</v>
      </c>
      <c r="D163" s="54">
        <v>86.559000000000125</v>
      </c>
    </row>
    <row r="164" spans="1:4" x14ac:dyDescent="0.25">
      <c r="A164" s="53" t="s">
        <v>117</v>
      </c>
      <c r="B164" s="53" t="s">
        <v>125</v>
      </c>
      <c r="C164" s="53" t="s">
        <v>140</v>
      </c>
      <c r="D164" s="54">
        <v>238.74799999999991</v>
      </c>
    </row>
    <row r="165" spans="1:4" x14ac:dyDescent="0.25">
      <c r="A165" s="53" t="s">
        <v>117</v>
      </c>
      <c r="B165" s="53" t="s">
        <v>125</v>
      </c>
      <c r="C165" s="53" t="s">
        <v>121</v>
      </c>
      <c r="D165" s="54">
        <v>423.26600000000019</v>
      </c>
    </row>
    <row r="166" spans="1:4" x14ac:dyDescent="0.25">
      <c r="A166" s="53" t="s">
        <v>117</v>
      </c>
      <c r="B166" s="53" t="s">
        <v>125</v>
      </c>
      <c r="C166" s="53" t="s">
        <v>159</v>
      </c>
      <c r="D166" s="54">
        <v>52.918000000000063</v>
      </c>
    </row>
    <row r="167" spans="1:4" x14ac:dyDescent="0.25">
      <c r="A167" s="53" t="s">
        <v>117</v>
      </c>
      <c r="B167" s="53" t="s">
        <v>125</v>
      </c>
      <c r="C167" s="53" t="s">
        <v>129</v>
      </c>
      <c r="D167" s="54">
        <v>32.534000000000013</v>
      </c>
    </row>
    <row r="168" spans="1:4" x14ac:dyDescent="0.25">
      <c r="A168" s="53" t="s">
        <v>117</v>
      </c>
      <c r="B168" s="53" t="s">
        <v>125</v>
      </c>
      <c r="C168" s="53" t="s">
        <v>128</v>
      </c>
      <c r="D168" s="54">
        <v>43.718000000000018</v>
      </c>
    </row>
    <row r="169" spans="1:4" x14ac:dyDescent="0.25">
      <c r="A169" s="53" t="s">
        <v>117</v>
      </c>
      <c r="B169" s="53" t="s">
        <v>125</v>
      </c>
      <c r="C169" s="53" t="s">
        <v>156</v>
      </c>
      <c r="D169" s="54">
        <v>69.84899999999999</v>
      </c>
    </row>
    <row r="170" spans="1:4" x14ac:dyDescent="0.25">
      <c r="A170" s="53" t="s">
        <v>117</v>
      </c>
      <c r="B170" s="53" t="s">
        <v>125</v>
      </c>
      <c r="C170" s="53" t="s">
        <v>172</v>
      </c>
      <c r="D170" s="54">
        <v>0.158</v>
      </c>
    </row>
    <row r="171" spans="1:4" x14ac:dyDescent="0.25">
      <c r="A171" s="53" t="s">
        <v>117</v>
      </c>
      <c r="B171" s="53" t="s">
        <v>125</v>
      </c>
      <c r="C171" s="53" t="s">
        <v>139</v>
      </c>
      <c r="D171" s="54">
        <v>291.43400000000008</v>
      </c>
    </row>
    <row r="172" spans="1:4" x14ac:dyDescent="0.25">
      <c r="A172" s="53" t="s">
        <v>117</v>
      </c>
      <c r="B172" s="53" t="s">
        <v>125</v>
      </c>
      <c r="C172" s="53" t="s">
        <v>169</v>
      </c>
      <c r="D172" s="54">
        <v>0.84700000000000009</v>
      </c>
    </row>
    <row r="173" spans="1:4" x14ac:dyDescent="0.25">
      <c r="A173" s="53" t="s">
        <v>117</v>
      </c>
      <c r="B173" s="53" t="s">
        <v>125</v>
      </c>
      <c r="C173" s="53" t="s">
        <v>123</v>
      </c>
      <c r="D173" s="54">
        <v>77.669000000000011</v>
      </c>
    </row>
    <row r="174" spans="1:4" x14ac:dyDescent="0.25">
      <c r="A174" s="53" t="s">
        <v>117</v>
      </c>
      <c r="B174" s="53" t="s">
        <v>125</v>
      </c>
      <c r="C174" s="53" t="s">
        <v>166</v>
      </c>
      <c r="D174" s="54">
        <v>0.25300000000000011</v>
      </c>
    </row>
    <row r="175" spans="1:4" x14ac:dyDescent="0.25">
      <c r="A175" s="53" t="s">
        <v>117</v>
      </c>
      <c r="B175" s="53" t="s">
        <v>125</v>
      </c>
      <c r="C175" s="53" t="s">
        <v>148</v>
      </c>
      <c r="D175" s="54">
        <v>130.3780000000001</v>
      </c>
    </row>
    <row r="176" spans="1:4" x14ac:dyDescent="0.25">
      <c r="A176" s="53" t="s">
        <v>117</v>
      </c>
      <c r="B176" s="53" t="s">
        <v>125</v>
      </c>
      <c r="C176" s="53" t="s">
        <v>135</v>
      </c>
      <c r="D176" s="54">
        <v>50.353999999999999</v>
      </c>
    </row>
    <row r="177" spans="1:4" x14ac:dyDescent="0.25">
      <c r="A177" s="53" t="s">
        <v>117</v>
      </c>
      <c r="B177" s="53" t="s">
        <v>125</v>
      </c>
      <c r="C177" s="53" t="s">
        <v>124</v>
      </c>
      <c r="D177" s="54">
        <v>210.09400000000011</v>
      </c>
    </row>
    <row r="178" spans="1:4" x14ac:dyDescent="0.25">
      <c r="A178" s="53" t="s">
        <v>117</v>
      </c>
      <c r="B178" s="53" t="s">
        <v>125</v>
      </c>
      <c r="C178" s="53" t="s">
        <v>167</v>
      </c>
      <c r="D178" s="54">
        <v>0.13100000000000001</v>
      </c>
    </row>
    <row r="179" spans="1:4" x14ac:dyDescent="0.25">
      <c r="A179" s="53" t="s">
        <v>117</v>
      </c>
      <c r="B179" s="53" t="s">
        <v>125</v>
      </c>
      <c r="C179" s="53" t="s">
        <v>155</v>
      </c>
      <c r="D179" s="54">
        <v>33.23299999999999</v>
      </c>
    </row>
    <row r="180" spans="1:4" x14ac:dyDescent="0.25">
      <c r="A180" s="53" t="s">
        <v>117</v>
      </c>
      <c r="B180" s="53" t="s">
        <v>125</v>
      </c>
      <c r="C180" s="53" t="s">
        <v>150</v>
      </c>
      <c r="D180" s="54">
        <v>88.885999999999996</v>
      </c>
    </row>
    <row r="181" spans="1:4" x14ac:dyDescent="0.25">
      <c r="A181" s="53" t="s">
        <v>117</v>
      </c>
      <c r="B181" s="53" t="s">
        <v>125</v>
      </c>
      <c r="C181" s="53" t="s">
        <v>154</v>
      </c>
      <c r="D181" s="54">
        <v>33.29099999999999</v>
      </c>
    </row>
    <row r="182" spans="1:4" x14ac:dyDescent="0.25">
      <c r="A182" s="53" t="s">
        <v>117</v>
      </c>
      <c r="B182" s="53" t="s">
        <v>125</v>
      </c>
      <c r="C182" s="53" t="s">
        <v>143</v>
      </c>
      <c r="D182" s="54">
        <v>164.6390000000001</v>
      </c>
    </row>
    <row r="183" spans="1:4" x14ac:dyDescent="0.25">
      <c r="A183" s="53" t="s">
        <v>117</v>
      </c>
      <c r="B183" s="53" t="s">
        <v>125</v>
      </c>
      <c r="C183" s="53" t="s">
        <v>138</v>
      </c>
      <c r="D183" s="54">
        <v>23.882000000000001</v>
      </c>
    </row>
    <row r="184" spans="1:4" x14ac:dyDescent="0.25">
      <c r="A184" s="53" t="s">
        <v>117</v>
      </c>
      <c r="B184" s="53" t="s">
        <v>125</v>
      </c>
      <c r="C184" s="53" t="s">
        <v>157</v>
      </c>
      <c r="D184" s="54">
        <v>4.0999999999999988E-2</v>
      </c>
    </row>
    <row r="185" spans="1:4" x14ac:dyDescent="0.25">
      <c r="A185" s="53" t="s">
        <v>117</v>
      </c>
      <c r="B185" s="53" t="s">
        <v>125</v>
      </c>
      <c r="C185" s="53" t="s">
        <v>170</v>
      </c>
      <c r="D185" s="54">
        <v>2.3069999999999991</v>
      </c>
    </row>
    <row r="186" spans="1:4" x14ac:dyDescent="0.25">
      <c r="A186" s="53" t="s">
        <v>117</v>
      </c>
      <c r="B186" s="53" t="s">
        <v>125</v>
      </c>
      <c r="C186" s="53" t="s">
        <v>125</v>
      </c>
      <c r="D186" s="54">
        <v>9.6430000000000007</v>
      </c>
    </row>
    <row r="187" spans="1:4" x14ac:dyDescent="0.25">
      <c r="A187" s="53" t="s">
        <v>117</v>
      </c>
      <c r="B187" s="53" t="s">
        <v>125</v>
      </c>
      <c r="C187" s="53" t="s">
        <v>122</v>
      </c>
      <c r="D187" s="54">
        <v>563.85299999999995</v>
      </c>
    </row>
    <row r="188" spans="1:4" x14ac:dyDescent="0.25">
      <c r="A188" s="53" t="s">
        <v>117</v>
      </c>
      <c r="B188" s="53" t="s">
        <v>125</v>
      </c>
      <c r="C188" s="53" t="s">
        <v>152</v>
      </c>
      <c r="D188" s="54">
        <v>70.88300000000001</v>
      </c>
    </row>
    <row r="189" spans="1:4" x14ac:dyDescent="0.25">
      <c r="A189" s="53" t="s">
        <v>117</v>
      </c>
      <c r="B189" s="53" t="s">
        <v>125</v>
      </c>
      <c r="C189" s="53" t="s">
        <v>126</v>
      </c>
      <c r="D189" s="54">
        <v>316.67000000000007</v>
      </c>
    </row>
    <row r="190" spans="1:4" x14ac:dyDescent="0.25">
      <c r="A190" s="53" t="s">
        <v>117</v>
      </c>
      <c r="B190" s="53" t="s">
        <v>125</v>
      </c>
      <c r="C190" s="53" t="s">
        <v>131</v>
      </c>
      <c r="D190" s="54">
        <v>607.75200000000007</v>
      </c>
    </row>
    <row r="191" spans="1:4" x14ac:dyDescent="0.25">
      <c r="A191" s="53" t="s">
        <v>117</v>
      </c>
      <c r="B191" s="53" t="s">
        <v>125</v>
      </c>
      <c r="C191" s="53" t="s">
        <v>171</v>
      </c>
      <c r="D191" s="54">
        <v>0.35000000000000009</v>
      </c>
    </row>
    <row r="192" spans="1:4" x14ac:dyDescent="0.25">
      <c r="A192" s="53" t="s">
        <v>117</v>
      </c>
      <c r="B192" s="53" t="s">
        <v>125</v>
      </c>
      <c r="C192" s="53" t="s">
        <v>165</v>
      </c>
      <c r="D192" s="54">
        <v>0.254</v>
      </c>
    </row>
    <row r="193" spans="1:4" x14ac:dyDescent="0.25">
      <c r="A193" s="53" t="s">
        <v>117</v>
      </c>
      <c r="B193" s="53" t="s">
        <v>125</v>
      </c>
      <c r="C193" s="53" t="s">
        <v>132</v>
      </c>
      <c r="D193" s="54">
        <v>39.214000000000013</v>
      </c>
    </row>
    <row r="194" spans="1:4" x14ac:dyDescent="0.25">
      <c r="A194" s="53" t="s">
        <v>117</v>
      </c>
      <c r="B194" s="53" t="s">
        <v>125</v>
      </c>
      <c r="C194" s="53" t="s">
        <v>168</v>
      </c>
      <c r="D194" s="54">
        <v>2.700000000000001E-2</v>
      </c>
    </row>
    <row r="195" spans="1:4" x14ac:dyDescent="0.25">
      <c r="A195" s="53" t="s">
        <v>117</v>
      </c>
      <c r="B195" s="53" t="s">
        <v>131</v>
      </c>
      <c r="C195" s="53" t="s">
        <v>120</v>
      </c>
      <c r="D195" s="54">
        <v>0.38700000000000001</v>
      </c>
    </row>
    <row r="196" spans="1:4" x14ac:dyDescent="0.25">
      <c r="A196" s="53" t="s">
        <v>117</v>
      </c>
      <c r="B196" s="53" t="s">
        <v>131</v>
      </c>
      <c r="C196" s="53" t="s">
        <v>142</v>
      </c>
      <c r="D196" s="54">
        <v>1.6E-2</v>
      </c>
    </row>
    <row r="197" spans="1:4" x14ac:dyDescent="0.25">
      <c r="A197" s="53" t="s">
        <v>117</v>
      </c>
      <c r="B197" s="53" t="s">
        <v>131</v>
      </c>
      <c r="C197" s="53" t="s">
        <v>119</v>
      </c>
      <c r="D197" s="54">
        <v>9.0000000000000011E-3</v>
      </c>
    </row>
    <row r="198" spans="1:4" x14ac:dyDescent="0.25">
      <c r="A198" s="53" t="s">
        <v>117</v>
      </c>
      <c r="B198" s="53" t="s">
        <v>131</v>
      </c>
      <c r="C198" s="53" t="s">
        <v>133</v>
      </c>
      <c r="D198" s="54">
        <v>0.15900000000000011</v>
      </c>
    </row>
    <row r="199" spans="1:4" x14ac:dyDescent="0.25">
      <c r="A199" s="53" t="s">
        <v>117</v>
      </c>
      <c r="B199" s="53" t="s">
        <v>131</v>
      </c>
      <c r="C199" s="53" t="s">
        <v>151</v>
      </c>
      <c r="D199" s="54">
        <v>2E-3</v>
      </c>
    </row>
    <row r="200" spans="1:4" x14ac:dyDescent="0.25">
      <c r="A200" s="53" t="s">
        <v>117</v>
      </c>
      <c r="B200" s="53" t="s">
        <v>131</v>
      </c>
      <c r="C200" s="53" t="s">
        <v>134</v>
      </c>
      <c r="D200" s="54">
        <v>6.0000000000000001E-3</v>
      </c>
    </row>
    <row r="201" spans="1:4" x14ac:dyDescent="0.25">
      <c r="A201" s="53" t="s">
        <v>117</v>
      </c>
      <c r="B201" s="53" t="s">
        <v>131</v>
      </c>
      <c r="C201" s="53" t="s">
        <v>136</v>
      </c>
      <c r="D201" s="54">
        <v>6.0000000000000001E-3</v>
      </c>
    </row>
    <row r="202" spans="1:4" x14ac:dyDescent="0.25">
      <c r="A202" s="53" t="s">
        <v>117</v>
      </c>
      <c r="B202" s="53" t="s">
        <v>131</v>
      </c>
      <c r="C202" s="53" t="s">
        <v>127</v>
      </c>
      <c r="D202" s="54">
        <v>0.435</v>
      </c>
    </row>
    <row r="203" spans="1:4" x14ac:dyDescent="0.25">
      <c r="A203" s="53" t="s">
        <v>117</v>
      </c>
      <c r="B203" s="53" t="s">
        <v>131</v>
      </c>
      <c r="C203" s="53" t="s">
        <v>162</v>
      </c>
      <c r="D203" s="54">
        <v>1E-3</v>
      </c>
    </row>
    <row r="204" spans="1:4" x14ac:dyDescent="0.25">
      <c r="A204" s="53" t="s">
        <v>117</v>
      </c>
      <c r="B204" s="53" t="s">
        <v>131</v>
      </c>
      <c r="C204" s="53" t="s">
        <v>161</v>
      </c>
      <c r="D204" s="54">
        <v>1E-3</v>
      </c>
    </row>
    <row r="205" spans="1:4" x14ac:dyDescent="0.25">
      <c r="A205" s="53" t="s">
        <v>117</v>
      </c>
      <c r="B205" s="53" t="s">
        <v>131</v>
      </c>
      <c r="C205" s="53" t="s">
        <v>158</v>
      </c>
      <c r="D205" s="54">
        <v>1.2999999999999999E-2</v>
      </c>
    </row>
    <row r="206" spans="1:4" x14ac:dyDescent="0.25">
      <c r="A206" s="53" t="s">
        <v>117</v>
      </c>
      <c r="B206" s="53" t="s">
        <v>131</v>
      </c>
      <c r="C206" s="53" t="s">
        <v>146</v>
      </c>
      <c r="D206" s="54">
        <v>1.4E-2</v>
      </c>
    </row>
    <row r="207" spans="1:4" x14ac:dyDescent="0.25">
      <c r="A207" s="53" t="s">
        <v>117</v>
      </c>
      <c r="B207" s="53" t="s">
        <v>131</v>
      </c>
      <c r="C207" s="53" t="s">
        <v>129</v>
      </c>
      <c r="D207" s="54">
        <v>2.3E-2</v>
      </c>
    </row>
    <row r="208" spans="1:4" x14ac:dyDescent="0.25">
      <c r="A208" s="53" t="s">
        <v>117</v>
      </c>
      <c r="B208" s="53" t="s">
        <v>131</v>
      </c>
      <c r="C208" s="53" t="s">
        <v>135</v>
      </c>
      <c r="D208" s="54">
        <v>6.5000000000000002E-2</v>
      </c>
    </row>
    <row r="209" spans="1:4" x14ac:dyDescent="0.25">
      <c r="A209" s="53" t="s">
        <v>117</v>
      </c>
      <c r="B209" s="53" t="s">
        <v>131</v>
      </c>
      <c r="C209" s="53" t="s">
        <v>155</v>
      </c>
      <c r="D209" s="54">
        <v>0.02</v>
      </c>
    </row>
    <row r="210" spans="1:4" x14ac:dyDescent="0.25">
      <c r="A210" s="53" t="s">
        <v>117</v>
      </c>
      <c r="B210" s="53" t="s">
        <v>131</v>
      </c>
      <c r="C210" s="53" t="s">
        <v>154</v>
      </c>
      <c r="D210" s="54">
        <v>6.0000000000000001E-3</v>
      </c>
    </row>
    <row r="211" spans="1:4" x14ac:dyDescent="0.25">
      <c r="A211" s="53" t="s">
        <v>117</v>
      </c>
      <c r="B211" s="53" t="s">
        <v>131</v>
      </c>
      <c r="C211" s="53" t="s">
        <v>143</v>
      </c>
      <c r="D211" s="54">
        <v>0.23300000000000001</v>
      </c>
    </row>
    <row r="212" spans="1:4" x14ac:dyDescent="0.25">
      <c r="A212" s="53" t="s">
        <v>117</v>
      </c>
      <c r="B212" s="53" t="s">
        <v>131</v>
      </c>
      <c r="C212" s="53" t="s">
        <v>122</v>
      </c>
      <c r="D212" s="54">
        <v>0.48900000000000021</v>
      </c>
    </row>
    <row r="213" spans="1:4" x14ac:dyDescent="0.25">
      <c r="A213" s="53" t="s">
        <v>117</v>
      </c>
      <c r="B213" s="53" t="s">
        <v>131</v>
      </c>
      <c r="C213" s="53" t="s">
        <v>152</v>
      </c>
      <c r="D213" s="54">
        <v>2.1000000000000001E-2</v>
      </c>
    </row>
    <row r="214" spans="1:4" x14ac:dyDescent="0.25">
      <c r="A214" s="53" t="s">
        <v>117</v>
      </c>
      <c r="B214" s="53" t="s">
        <v>131</v>
      </c>
      <c r="C214" s="53" t="s">
        <v>126</v>
      </c>
      <c r="D214" s="54">
        <v>0.34600000000000009</v>
      </c>
    </row>
    <row r="215" spans="1:4" x14ac:dyDescent="0.25">
      <c r="A215" s="53" t="s">
        <v>116</v>
      </c>
      <c r="B215" s="53" t="s">
        <v>119</v>
      </c>
      <c r="C215" s="53" t="s">
        <v>120</v>
      </c>
      <c r="D215" s="54">
        <v>1.4999999999999999E-2</v>
      </c>
    </row>
    <row r="216" spans="1:4" x14ac:dyDescent="0.25">
      <c r="A216" s="53" t="s">
        <v>116</v>
      </c>
      <c r="B216" s="53" t="s">
        <v>119</v>
      </c>
      <c r="C216" s="53" t="s">
        <v>133</v>
      </c>
      <c r="D216" s="54">
        <v>2E-3</v>
      </c>
    </row>
    <row r="217" spans="1:4" x14ac:dyDescent="0.25">
      <c r="A217" s="53" t="s">
        <v>116</v>
      </c>
      <c r="B217" s="53" t="s">
        <v>119</v>
      </c>
      <c r="C217" s="53" t="s">
        <v>134</v>
      </c>
      <c r="D217" s="54">
        <v>1.4E-2</v>
      </c>
    </row>
    <row r="218" spans="1:4" x14ac:dyDescent="0.25">
      <c r="A218" s="53" t="s">
        <v>116</v>
      </c>
      <c r="B218" s="53" t="s">
        <v>119</v>
      </c>
      <c r="C218" s="53" t="s">
        <v>166</v>
      </c>
      <c r="D218" s="54">
        <v>0.17799999999999999</v>
      </c>
    </row>
    <row r="219" spans="1:4" x14ac:dyDescent="0.25">
      <c r="A219" s="53" t="s">
        <v>116</v>
      </c>
      <c r="B219" s="53" t="s">
        <v>119</v>
      </c>
      <c r="C219" s="53" t="s">
        <v>126</v>
      </c>
      <c r="D219" s="54">
        <v>0.127</v>
      </c>
    </row>
    <row r="220" spans="1:4" x14ac:dyDescent="0.25">
      <c r="A220" s="53" t="s">
        <v>116</v>
      </c>
      <c r="B220" s="53" t="s">
        <v>130</v>
      </c>
      <c r="C220" s="53" t="s">
        <v>119</v>
      </c>
      <c r="D220" s="54">
        <v>5.6029999999999971</v>
      </c>
    </row>
    <row r="221" spans="1:4" x14ac:dyDescent="0.25">
      <c r="A221" s="53" t="s">
        <v>116</v>
      </c>
      <c r="B221" s="53" t="s">
        <v>130</v>
      </c>
      <c r="C221" s="53" t="s">
        <v>149</v>
      </c>
      <c r="D221" s="54">
        <v>0.24000000000000021</v>
      </c>
    </row>
    <row r="222" spans="1:4" x14ac:dyDescent="0.25">
      <c r="A222" s="53" t="s">
        <v>116</v>
      </c>
      <c r="B222" s="53" t="s">
        <v>130</v>
      </c>
      <c r="C222" s="53" t="s">
        <v>163</v>
      </c>
      <c r="D222" s="54">
        <v>1.7999999999999999E-2</v>
      </c>
    </row>
    <row r="223" spans="1:4" x14ac:dyDescent="0.25">
      <c r="A223" s="53" t="s">
        <v>116</v>
      </c>
      <c r="B223" s="53" t="s">
        <v>130</v>
      </c>
      <c r="C223" s="53" t="s">
        <v>147</v>
      </c>
      <c r="D223" s="54">
        <v>4.1000000000000002E-2</v>
      </c>
    </row>
    <row r="224" spans="1:4" x14ac:dyDescent="0.25">
      <c r="A224" s="53" t="s">
        <v>116</v>
      </c>
      <c r="B224" s="53" t="s">
        <v>130</v>
      </c>
      <c r="C224" s="53" t="s">
        <v>140</v>
      </c>
      <c r="D224" s="54">
        <v>9.9000000000000032E-2</v>
      </c>
    </row>
    <row r="225" spans="1:4" x14ac:dyDescent="0.25">
      <c r="A225" s="53" t="s">
        <v>116</v>
      </c>
      <c r="B225" s="53" t="s">
        <v>130</v>
      </c>
      <c r="C225" s="53" t="s">
        <v>159</v>
      </c>
      <c r="D225" s="54">
        <v>0.1430000000000001</v>
      </c>
    </row>
    <row r="226" spans="1:4" x14ac:dyDescent="0.25">
      <c r="A226" s="53" t="s">
        <v>116</v>
      </c>
      <c r="B226" s="53" t="s">
        <v>130</v>
      </c>
      <c r="C226" s="53" t="s">
        <v>128</v>
      </c>
      <c r="D226" s="54">
        <v>128.56700000000001</v>
      </c>
    </row>
    <row r="227" spans="1:4" x14ac:dyDescent="0.25">
      <c r="A227" s="53" t="s">
        <v>116</v>
      </c>
      <c r="B227" s="53" t="s">
        <v>130</v>
      </c>
      <c r="C227" s="53" t="s">
        <v>169</v>
      </c>
      <c r="D227" s="54">
        <v>3.0000000000000001E-3</v>
      </c>
    </row>
    <row r="228" spans="1:4" x14ac:dyDescent="0.25">
      <c r="A228" s="53" t="s">
        <v>116</v>
      </c>
      <c r="B228" s="53" t="s">
        <v>130</v>
      </c>
      <c r="C228" s="53" t="s">
        <v>123</v>
      </c>
      <c r="D228" s="54">
        <v>100.45399999999999</v>
      </c>
    </row>
    <row r="229" spans="1:4" x14ac:dyDescent="0.25">
      <c r="A229" s="53" t="s">
        <v>116</v>
      </c>
      <c r="B229" s="53" t="s">
        <v>130</v>
      </c>
      <c r="C229" s="53" t="s">
        <v>148</v>
      </c>
      <c r="D229" s="54">
        <v>0.62100000000000033</v>
      </c>
    </row>
    <row r="230" spans="1:4" x14ac:dyDescent="0.25">
      <c r="A230" s="53" t="s">
        <v>116</v>
      </c>
      <c r="B230" s="53" t="s">
        <v>130</v>
      </c>
      <c r="C230" s="53" t="s">
        <v>124</v>
      </c>
      <c r="D230" s="54">
        <v>3.5349999999999988</v>
      </c>
    </row>
    <row r="231" spans="1:4" x14ac:dyDescent="0.25">
      <c r="A231" s="53" t="s">
        <v>116</v>
      </c>
      <c r="B231" s="53" t="s">
        <v>130</v>
      </c>
      <c r="C231" s="53" t="s">
        <v>138</v>
      </c>
      <c r="D231" s="54">
        <v>0.97900000000000043</v>
      </c>
    </row>
    <row r="232" spans="1:4" x14ac:dyDescent="0.25">
      <c r="A232" s="53" t="s">
        <v>116</v>
      </c>
      <c r="B232" s="53" t="s">
        <v>130</v>
      </c>
      <c r="C232" s="53" t="s">
        <v>125</v>
      </c>
      <c r="D232" s="54">
        <v>5.0710000000000006</v>
      </c>
    </row>
    <row r="233" spans="1:4" x14ac:dyDescent="0.25">
      <c r="A233" s="53" t="s">
        <v>116</v>
      </c>
      <c r="B233" s="53" t="s">
        <v>130</v>
      </c>
      <c r="C233" s="53" t="s">
        <v>132</v>
      </c>
      <c r="D233" s="54">
        <v>22.44</v>
      </c>
    </row>
    <row r="234" spans="1:4" x14ac:dyDescent="0.25">
      <c r="A234" s="53" t="s">
        <v>116</v>
      </c>
      <c r="B234" s="53" t="s">
        <v>127</v>
      </c>
      <c r="C234" s="53" t="s">
        <v>119</v>
      </c>
      <c r="D234" s="54">
        <v>2.2509999999999981</v>
      </c>
    </row>
    <row r="235" spans="1:4" x14ac:dyDescent="0.25">
      <c r="A235" s="53" t="s">
        <v>116</v>
      </c>
      <c r="B235" s="53" t="s">
        <v>127</v>
      </c>
      <c r="C235" s="53" t="s">
        <v>149</v>
      </c>
      <c r="D235" s="54">
        <v>0.19500000000000001</v>
      </c>
    </row>
    <row r="236" spans="1:4" x14ac:dyDescent="0.25">
      <c r="A236" s="53" t="s">
        <v>116</v>
      </c>
      <c r="B236" s="53" t="s">
        <v>127</v>
      </c>
      <c r="C236" s="53" t="s">
        <v>147</v>
      </c>
      <c r="D236" s="54">
        <v>0.27700000000000002</v>
      </c>
    </row>
    <row r="237" spans="1:4" x14ac:dyDescent="0.25">
      <c r="A237" s="53" t="s">
        <v>116</v>
      </c>
      <c r="B237" s="53" t="s">
        <v>127</v>
      </c>
      <c r="C237" s="53" t="s">
        <v>164</v>
      </c>
      <c r="D237" s="54">
        <v>5.0000000000000001E-3</v>
      </c>
    </row>
    <row r="238" spans="1:4" x14ac:dyDescent="0.25">
      <c r="A238" s="53" t="s">
        <v>116</v>
      </c>
      <c r="B238" s="53" t="s">
        <v>127</v>
      </c>
      <c r="C238" s="53" t="s">
        <v>140</v>
      </c>
      <c r="D238" s="54">
        <v>0.26400000000000018</v>
      </c>
    </row>
    <row r="239" spans="1:4" x14ac:dyDescent="0.25">
      <c r="A239" s="53" t="s">
        <v>116</v>
      </c>
      <c r="B239" s="53" t="s">
        <v>127</v>
      </c>
      <c r="C239" s="53" t="s">
        <v>159</v>
      </c>
      <c r="D239" s="54">
        <v>2.0000000000000011E-2</v>
      </c>
    </row>
    <row r="240" spans="1:4" x14ac:dyDescent="0.25">
      <c r="A240" s="53" t="s">
        <v>116</v>
      </c>
      <c r="B240" s="53" t="s">
        <v>127</v>
      </c>
      <c r="C240" s="53" t="s">
        <v>128</v>
      </c>
      <c r="D240" s="54">
        <v>1.8160000000000001</v>
      </c>
    </row>
    <row r="241" spans="1:4" x14ac:dyDescent="0.25">
      <c r="A241" s="53" t="s">
        <v>116</v>
      </c>
      <c r="B241" s="53" t="s">
        <v>127</v>
      </c>
      <c r="C241" s="53" t="s">
        <v>139</v>
      </c>
      <c r="D241" s="54">
        <v>0.54100000000000004</v>
      </c>
    </row>
    <row r="242" spans="1:4" x14ac:dyDescent="0.25">
      <c r="A242" s="53" t="s">
        <v>116</v>
      </c>
      <c r="B242" s="53" t="s">
        <v>127</v>
      </c>
      <c r="C242" s="53" t="s">
        <v>123</v>
      </c>
      <c r="D242" s="54">
        <v>2.343</v>
      </c>
    </row>
    <row r="243" spans="1:4" x14ac:dyDescent="0.25">
      <c r="A243" s="53" t="s">
        <v>116</v>
      </c>
      <c r="B243" s="53" t="s">
        <v>127</v>
      </c>
      <c r="C243" s="53" t="s">
        <v>148</v>
      </c>
      <c r="D243" s="54">
        <v>0.37700000000000028</v>
      </c>
    </row>
    <row r="244" spans="1:4" x14ac:dyDescent="0.25">
      <c r="A244" s="53" t="s">
        <v>116</v>
      </c>
      <c r="B244" s="53" t="s">
        <v>127</v>
      </c>
      <c r="C244" s="53" t="s">
        <v>124</v>
      </c>
      <c r="D244" s="54">
        <v>0.29700000000000021</v>
      </c>
    </row>
    <row r="245" spans="1:4" x14ac:dyDescent="0.25">
      <c r="A245" s="53" t="s">
        <v>116</v>
      </c>
      <c r="B245" s="53" t="s">
        <v>127</v>
      </c>
      <c r="C245" s="53" t="s">
        <v>150</v>
      </c>
      <c r="D245" s="54">
        <v>0.57000000000000017</v>
      </c>
    </row>
    <row r="246" spans="1:4" x14ac:dyDescent="0.25">
      <c r="A246" s="53" t="s">
        <v>116</v>
      </c>
      <c r="B246" s="53" t="s">
        <v>127</v>
      </c>
      <c r="C246" s="53" t="s">
        <v>138</v>
      </c>
      <c r="D246" s="54">
        <v>0.21200000000000011</v>
      </c>
    </row>
    <row r="247" spans="1:4" x14ac:dyDescent="0.25">
      <c r="A247" s="53" t="s">
        <v>116</v>
      </c>
      <c r="B247" s="53" t="s">
        <v>127</v>
      </c>
      <c r="C247" s="53" t="s">
        <v>125</v>
      </c>
      <c r="D247" s="54">
        <v>1.0629999999999999</v>
      </c>
    </row>
    <row r="248" spans="1:4" x14ac:dyDescent="0.25">
      <c r="A248" s="53" t="s">
        <v>116</v>
      </c>
      <c r="B248" s="53" t="s">
        <v>127</v>
      </c>
      <c r="C248" s="53" t="s">
        <v>132</v>
      </c>
      <c r="D248" s="54">
        <v>0.32200000000000012</v>
      </c>
    </row>
    <row r="249" spans="1:4" x14ac:dyDescent="0.25">
      <c r="A249" s="53" t="s">
        <v>116</v>
      </c>
      <c r="B249" s="53" t="s">
        <v>144</v>
      </c>
      <c r="C249" s="53" t="s">
        <v>119</v>
      </c>
      <c r="D249" s="54">
        <v>1.6269999999999989</v>
      </c>
    </row>
    <row r="250" spans="1:4" x14ac:dyDescent="0.25">
      <c r="A250" s="53" t="s">
        <v>116</v>
      </c>
      <c r="B250" s="53" t="s">
        <v>144</v>
      </c>
      <c r="C250" s="53" t="s">
        <v>149</v>
      </c>
      <c r="D250" s="54">
        <v>4.1000000000000002E-2</v>
      </c>
    </row>
    <row r="251" spans="1:4" x14ac:dyDescent="0.25">
      <c r="A251" s="53" t="s">
        <v>116</v>
      </c>
      <c r="B251" s="53" t="s">
        <v>144</v>
      </c>
      <c r="C251" s="53" t="s">
        <v>147</v>
      </c>
      <c r="D251" s="54">
        <v>0.38800000000000001</v>
      </c>
    </row>
    <row r="252" spans="1:4" x14ac:dyDescent="0.25">
      <c r="A252" s="53" t="s">
        <v>116</v>
      </c>
      <c r="B252" s="53" t="s">
        <v>144</v>
      </c>
      <c r="C252" s="53" t="s">
        <v>140</v>
      </c>
      <c r="D252" s="54">
        <v>0.112</v>
      </c>
    </row>
    <row r="253" spans="1:4" x14ac:dyDescent="0.25">
      <c r="A253" s="53" t="s">
        <v>116</v>
      </c>
      <c r="B253" s="53" t="s">
        <v>144</v>
      </c>
      <c r="C253" s="53" t="s">
        <v>139</v>
      </c>
      <c r="D253" s="54">
        <v>0.51100000000000001</v>
      </c>
    </row>
    <row r="254" spans="1:4" x14ac:dyDescent="0.25">
      <c r="A254" s="53" t="s">
        <v>116</v>
      </c>
      <c r="B254" s="53" t="s">
        <v>144</v>
      </c>
      <c r="C254" s="53" t="s">
        <v>123</v>
      </c>
      <c r="D254" s="54">
        <v>0.45</v>
      </c>
    </row>
    <row r="255" spans="1:4" x14ac:dyDescent="0.25">
      <c r="A255" s="53" t="s">
        <v>116</v>
      </c>
      <c r="B255" s="53" t="s">
        <v>144</v>
      </c>
      <c r="C255" s="53" t="s">
        <v>148</v>
      </c>
      <c r="D255" s="54">
        <v>6.6000000000000017E-2</v>
      </c>
    </row>
    <row r="256" spans="1:4" x14ac:dyDescent="0.25">
      <c r="A256" s="53" t="s">
        <v>116</v>
      </c>
      <c r="B256" s="53" t="s">
        <v>144</v>
      </c>
      <c r="C256" s="53" t="s">
        <v>124</v>
      </c>
      <c r="D256" s="54">
        <v>9.799999999999999E-2</v>
      </c>
    </row>
    <row r="257" spans="1:4" x14ac:dyDescent="0.25">
      <c r="A257" s="53" t="s">
        <v>116</v>
      </c>
      <c r="B257" s="53" t="s">
        <v>144</v>
      </c>
      <c r="C257" s="53" t="s">
        <v>150</v>
      </c>
      <c r="D257" s="54">
        <v>0.156</v>
      </c>
    </row>
    <row r="258" spans="1:4" x14ac:dyDescent="0.25">
      <c r="A258" s="53" t="s">
        <v>116</v>
      </c>
      <c r="B258" s="53" t="s">
        <v>144</v>
      </c>
      <c r="C258" s="53" t="s">
        <v>138</v>
      </c>
      <c r="D258" s="54">
        <v>5.1000000000000018E-2</v>
      </c>
    </row>
    <row r="259" spans="1:4" x14ac:dyDescent="0.25">
      <c r="A259" s="53" t="s">
        <v>116</v>
      </c>
      <c r="B259" s="53" t="s">
        <v>144</v>
      </c>
      <c r="C259" s="53" t="s">
        <v>125</v>
      </c>
      <c r="D259" s="54">
        <v>0.17499999999999999</v>
      </c>
    </row>
    <row r="260" spans="1:4" x14ac:dyDescent="0.25">
      <c r="A260" s="53" t="s">
        <v>116</v>
      </c>
      <c r="B260" s="53" t="s">
        <v>147</v>
      </c>
      <c r="C260" s="53" t="s">
        <v>120</v>
      </c>
      <c r="D260" s="54">
        <v>10.510999999999999</v>
      </c>
    </row>
    <row r="261" spans="1:4" x14ac:dyDescent="0.25">
      <c r="A261" s="53" t="s">
        <v>116</v>
      </c>
      <c r="B261" s="53" t="s">
        <v>147</v>
      </c>
      <c r="C261" s="53" t="s">
        <v>142</v>
      </c>
      <c r="D261" s="54">
        <v>0.62600000000000022</v>
      </c>
    </row>
    <row r="262" spans="1:4" x14ac:dyDescent="0.25">
      <c r="A262" s="53" t="s">
        <v>116</v>
      </c>
      <c r="B262" s="53" t="s">
        <v>147</v>
      </c>
      <c r="C262" s="53" t="s">
        <v>119</v>
      </c>
      <c r="D262" s="54">
        <v>1.4970000000000001</v>
      </c>
    </row>
    <row r="263" spans="1:4" x14ac:dyDescent="0.25">
      <c r="A263" s="53" t="s">
        <v>116</v>
      </c>
      <c r="B263" s="53" t="s">
        <v>147</v>
      </c>
      <c r="C263" s="53" t="s">
        <v>133</v>
      </c>
      <c r="D263" s="54">
        <v>53.305999999999997</v>
      </c>
    </row>
    <row r="264" spans="1:4" x14ac:dyDescent="0.25">
      <c r="A264" s="53" t="s">
        <v>116</v>
      </c>
      <c r="B264" s="53" t="s">
        <v>147</v>
      </c>
      <c r="C264" s="53" t="s">
        <v>130</v>
      </c>
      <c r="D264" s="54">
        <v>97.950000000000017</v>
      </c>
    </row>
    <row r="265" spans="1:4" x14ac:dyDescent="0.25">
      <c r="A265" s="53" t="s">
        <v>116</v>
      </c>
      <c r="B265" s="53" t="s">
        <v>147</v>
      </c>
      <c r="C265" s="53" t="s">
        <v>151</v>
      </c>
      <c r="D265" s="54">
        <v>0.26500000000000012</v>
      </c>
    </row>
    <row r="266" spans="1:4" x14ac:dyDescent="0.25">
      <c r="A266" s="53" t="s">
        <v>116</v>
      </c>
      <c r="B266" s="53" t="s">
        <v>147</v>
      </c>
      <c r="C266" s="53" t="s">
        <v>153</v>
      </c>
      <c r="D266" s="54">
        <v>0.32600000000000012</v>
      </c>
    </row>
    <row r="267" spans="1:4" x14ac:dyDescent="0.25">
      <c r="A267" s="53" t="s">
        <v>116</v>
      </c>
      <c r="B267" s="53" t="s">
        <v>147</v>
      </c>
      <c r="C267" s="53" t="s">
        <v>134</v>
      </c>
      <c r="D267" s="54">
        <v>0.44800000000000001</v>
      </c>
    </row>
    <row r="268" spans="1:4" x14ac:dyDescent="0.25">
      <c r="A268" s="53" t="s">
        <v>116</v>
      </c>
      <c r="B268" s="53" t="s">
        <v>147</v>
      </c>
      <c r="C268" s="53" t="s">
        <v>136</v>
      </c>
      <c r="D268" s="54">
        <v>0.442</v>
      </c>
    </row>
    <row r="269" spans="1:4" x14ac:dyDescent="0.25">
      <c r="A269" s="53" t="s">
        <v>116</v>
      </c>
      <c r="B269" s="53" t="s">
        <v>147</v>
      </c>
      <c r="C269" s="53" t="s">
        <v>127</v>
      </c>
      <c r="D269" s="54">
        <v>36.912999999999997</v>
      </c>
    </row>
    <row r="270" spans="1:4" x14ac:dyDescent="0.25">
      <c r="A270" s="53" t="s">
        <v>116</v>
      </c>
      <c r="B270" s="53" t="s">
        <v>147</v>
      </c>
      <c r="C270" s="53" t="s">
        <v>160</v>
      </c>
      <c r="D270" s="54">
        <v>1.4E-2</v>
      </c>
    </row>
    <row r="271" spans="1:4" x14ac:dyDescent="0.25">
      <c r="A271" s="53" t="s">
        <v>116</v>
      </c>
      <c r="B271" s="53" t="s">
        <v>147</v>
      </c>
      <c r="C271" s="53" t="s">
        <v>162</v>
      </c>
      <c r="D271" s="54">
        <v>0.11899999999999999</v>
      </c>
    </row>
    <row r="272" spans="1:4" x14ac:dyDescent="0.25">
      <c r="A272" s="53" t="s">
        <v>116</v>
      </c>
      <c r="B272" s="53" t="s">
        <v>147</v>
      </c>
      <c r="C272" s="53" t="s">
        <v>161</v>
      </c>
      <c r="D272" s="54">
        <v>0.42700000000000021</v>
      </c>
    </row>
    <row r="273" spans="1:4" x14ac:dyDescent="0.25">
      <c r="A273" s="53" t="s">
        <v>116</v>
      </c>
      <c r="B273" s="53" t="s">
        <v>147</v>
      </c>
      <c r="C273" s="53" t="s">
        <v>147</v>
      </c>
      <c r="D273" s="54">
        <v>0.96800000000000008</v>
      </c>
    </row>
    <row r="274" spans="1:4" x14ac:dyDescent="0.25">
      <c r="A274" s="53" t="s">
        <v>116</v>
      </c>
      <c r="B274" s="53" t="s">
        <v>147</v>
      </c>
      <c r="C274" s="53" t="s">
        <v>158</v>
      </c>
      <c r="D274" s="54">
        <v>0.2370000000000001</v>
      </c>
    </row>
    <row r="275" spans="1:4" x14ac:dyDescent="0.25">
      <c r="A275" s="53" t="s">
        <v>116</v>
      </c>
      <c r="B275" s="53" t="s">
        <v>147</v>
      </c>
      <c r="C275" s="53" t="s">
        <v>146</v>
      </c>
      <c r="D275" s="54">
        <v>2.0149999999999961</v>
      </c>
    </row>
    <row r="276" spans="1:4" x14ac:dyDescent="0.25">
      <c r="A276" s="53" t="s">
        <v>116</v>
      </c>
      <c r="B276" s="53" t="s">
        <v>147</v>
      </c>
      <c r="C276" s="53" t="s">
        <v>121</v>
      </c>
      <c r="D276" s="54">
        <v>15.367000000000001</v>
      </c>
    </row>
    <row r="277" spans="1:4" x14ac:dyDescent="0.25">
      <c r="A277" s="53" t="s">
        <v>116</v>
      </c>
      <c r="B277" s="53" t="s">
        <v>147</v>
      </c>
      <c r="C277" s="53" t="s">
        <v>129</v>
      </c>
      <c r="D277" s="54">
        <v>0.44500000000000012</v>
      </c>
    </row>
    <row r="278" spans="1:4" x14ac:dyDescent="0.25">
      <c r="A278" s="53" t="s">
        <v>116</v>
      </c>
      <c r="B278" s="53" t="s">
        <v>147</v>
      </c>
      <c r="C278" s="53" t="s">
        <v>156</v>
      </c>
      <c r="D278" s="54">
        <v>2.2510000000000008</v>
      </c>
    </row>
    <row r="279" spans="1:4" x14ac:dyDescent="0.25">
      <c r="A279" s="53" t="s">
        <v>116</v>
      </c>
      <c r="B279" s="53" t="s">
        <v>147</v>
      </c>
      <c r="C279" s="53" t="s">
        <v>123</v>
      </c>
      <c r="D279" s="54">
        <v>2.3639999999999999</v>
      </c>
    </row>
    <row r="280" spans="1:4" x14ac:dyDescent="0.25">
      <c r="A280" s="53" t="s">
        <v>116</v>
      </c>
      <c r="B280" s="53" t="s">
        <v>147</v>
      </c>
      <c r="C280" s="53" t="s">
        <v>166</v>
      </c>
      <c r="D280" s="54">
        <v>1E-3</v>
      </c>
    </row>
    <row r="281" spans="1:4" x14ac:dyDescent="0.25">
      <c r="A281" s="53" t="s">
        <v>116</v>
      </c>
      <c r="B281" s="53" t="s">
        <v>147</v>
      </c>
      <c r="C281" s="53" t="s">
        <v>135</v>
      </c>
      <c r="D281" s="54">
        <v>8.2910000000000004</v>
      </c>
    </row>
    <row r="282" spans="1:4" x14ac:dyDescent="0.25">
      <c r="A282" s="53" t="s">
        <v>116</v>
      </c>
      <c r="B282" s="53" t="s">
        <v>147</v>
      </c>
      <c r="C282" s="53" t="s">
        <v>124</v>
      </c>
      <c r="D282" s="54">
        <v>0.29799999999999999</v>
      </c>
    </row>
    <row r="283" spans="1:4" x14ac:dyDescent="0.25">
      <c r="A283" s="53" t="s">
        <v>116</v>
      </c>
      <c r="B283" s="53" t="s">
        <v>147</v>
      </c>
      <c r="C283" s="53" t="s">
        <v>155</v>
      </c>
      <c r="D283" s="54">
        <v>0.86700000000000021</v>
      </c>
    </row>
    <row r="284" spans="1:4" x14ac:dyDescent="0.25">
      <c r="A284" s="53" t="s">
        <v>116</v>
      </c>
      <c r="B284" s="53" t="s">
        <v>147</v>
      </c>
      <c r="C284" s="53" t="s">
        <v>154</v>
      </c>
      <c r="D284" s="54">
        <v>0.72800000000000009</v>
      </c>
    </row>
    <row r="285" spans="1:4" x14ac:dyDescent="0.25">
      <c r="A285" s="53" t="s">
        <v>116</v>
      </c>
      <c r="B285" s="53" t="s">
        <v>147</v>
      </c>
      <c r="C285" s="53" t="s">
        <v>143</v>
      </c>
      <c r="D285" s="54">
        <v>4.9609999999999923</v>
      </c>
    </row>
    <row r="286" spans="1:4" x14ac:dyDescent="0.25">
      <c r="A286" s="53" t="s">
        <v>116</v>
      </c>
      <c r="B286" s="53" t="s">
        <v>147</v>
      </c>
      <c r="C286" s="53" t="s">
        <v>125</v>
      </c>
      <c r="D286" s="54">
        <v>1.8169999999999999</v>
      </c>
    </row>
    <row r="287" spans="1:4" x14ac:dyDescent="0.25">
      <c r="A287" s="53" t="s">
        <v>116</v>
      </c>
      <c r="B287" s="53" t="s">
        <v>147</v>
      </c>
      <c r="C287" s="53" t="s">
        <v>122</v>
      </c>
      <c r="D287" s="54">
        <v>26.467000000000009</v>
      </c>
    </row>
    <row r="288" spans="1:4" x14ac:dyDescent="0.25">
      <c r="A288" s="53" t="s">
        <v>116</v>
      </c>
      <c r="B288" s="53" t="s">
        <v>147</v>
      </c>
      <c r="C288" s="53" t="s">
        <v>152</v>
      </c>
      <c r="D288" s="54">
        <v>1.8540000000000001</v>
      </c>
    </row>
    <row r="289" spans="1:4" x14ac:dyDescent="0.25">
      <c r="A289" s="53" t="s">
        <v>116</v>
      </c>
      <c r="B289" s="53" t="s">
        <v>147</v>
      </c>
      <c r="C289" s="53" t="s">
        <v>126</v>
      </c>
      <c r="D289" s="54">
        <v>10.391999999999999</v>
      </c>
    </row>
    <row r="290" spans="1:4" x14ac:dyDescent="0.25">
      <c r="A290" s="53" t="s">
        <v>116</v>
      </c>
      <c r="B290" s="53" t="s">
        <v>147</v>
      </c>
      <c r="C290" s="53" t="s">
        <v>165</v>
      </c>
      <c r="D290" s="54">
        <v>9.0000000000000011E-3</v>
      </c>
    </row>
    <row r="291" spans="1:4" x14ac:dyDescent="0.25">
      <c r="A291" s="53" t="s">
        <v>116</v>
      </c>
      <c r="B291" s="53" t="s">
        <v>147</v>
      </c>
      <c r="C291" s="53" t="s">
        <v>168</v>
      </c>
      <c r="D291" s="54">
        <v>1E-3</v>
      </c>
    </row>
    <row r="292" spans="1:4" x14ac:dyDescent="0.25">
      <c r="A292" s="53" t="s">
        <v>116</v>
      </c>
      <c r="B292" s="53" t="s">
        <v>164</v>
      </c>
      <c r="C292" s="53" t="s">
        <v>127</v>
      </c>
      <c r="D292" s="54">
        <v>2E-3</v>
      </c>
    </row>
    <row r="293" spans="1:4" x14ac:dyDescent="0.25">
      <c r="A293" s="53" t="s">
        <v>116</v>
      </c>
      <c r="B293" s="53" t="s">
        <v>121</v>
      </c>
      <c r="C293" s="53" t="s">
        <v>120</v>
      </c>
      <c r="D293" s="54">
        <v>4.0000000000000001E-3</v>
      </c>
    </row>
    <row r="294" spans="1:4" x14ac:dyDescent="0.25">
      <c r="A294" s="53" t="s">
        <v>116</v>
      </c>
      <c r="B294" s="53" t="s">
        <v>129</v>
      </c>
      <c r="C294" s="53" t="s">
        <v>119</v>
      </c>
      <c r="D294" s="54">
        <v>2.4819999999999989</v>
      </c>
    </row>
    <row r="295" spans="1:4" x14ac:dyDescent="0.25">
      <c r="A295" s="53" t="s">
        <v>116</v>
      </c>
      <c r="B295" s="53" t="s">
        <v>129</v>
      </c>
      <c r="C295" s="53" t="s">
        <v>149</v>
      </c>
      <c r="D295" s="54">
        <v>6.7000000000000032E-2</v>
      </c>
    </row>
    <row r="296" spans="1:4" x14ac:dyDescent="0.25">
      <c r="A296" s="53" t="s">
        <v>116</v>
      </c>
      <c r="B296" s="53" t="s">
        <v>129</v>
      </c>
      <c r="C296" s="53" t="s">
        <v>147</v>
      </c>
      <c r="D296" s="54">
        <v>1.9E-2</v>
      </c>
    </row>
    <row r="297" spans="1:4" x14ac:dyDescent="0.25">
      <c r="A297" s="53" t="s">
        <v>116</v>
      </c>
      <c r="B297" s="53" t="s">
        <v>129</v>
      </c>
      <c r="C297" s="53" t="s">
        <v>164</v>
      </c>
      <c r="D297" s="54">
        <v>1.4E-2</v>
      </c>
    </row>
    <row r="298" spans="1:4" x14ac:dyDescent="0.25">
      <c r="A298" s="53" t="s">
        <v>116</v>
      </c>
      <c r="B298" s="53" t="s">
        <v>129</v>
      </c>
      <c r="C298" s="53" t="s">
        <v>140</v>
      </c>
      <c r="D298" s="54">
        <v>0.14799999999999999</v>
      </c>
    </row>
    <row r="299" spans="1:4" x14ac:dyDescent="0.25">
      <c r="A299" s="53" t="s">
        <v>116</v>
      </c>
      <c r="B299" s="53" t="s">
        <v>129</v>
      </c>
      <c r="C299" s="53" t="s">
        <v>159</v>
      </c>
      <c r="D299" s="54">
        <v>7.5000000000000039E-2</v>
      </c>
    </row>
    <row r="300" spans="1:4" x14ac:dyDescent="0.25">
      <c r="A300" s="53" t="s">
        <v>116</v>
      </c>
      <c r="B300" s="53" t="s">
        <v>129</v>
      </c>
      <c r="C300" s="53" t="s">
        <v>139</v>
      </c>
      <c r="D300" s="54">
        <v>0.105</v>
      </c>
    </row>
    <row r="301" spans="1:4" x14ac:dyDescent="0.25">
      <c r="A301" s="53" t="s">
        <v>116</v>
      </c>
      <c r="B301" s="53" t="s">
        <v>129</v>
      </c>
      <c r="C301" s="53" t="s">
        <v>123</v>
      </c>
      <c r="D301" s="54">
        <v>0.63500000000000001</v>
      </c>
    </row>
    <row r="302" spans="1:4" x14ac:dyDescent="0.25">
      <c r="A302" s="53" t="s">
        <v>116</v>
      </c>
      <c r="B302" s="53" t="s">
        <v>129</v>
      </c>
      <c r="C302" s="53" t="s">
        <v>148</v>
      </c>
      <c r="D302" s="54">
        <v>0.155</v>
      </c>
    </row>
    <row r="303" spans="1:4" x14ac:dyDescent="0.25">
      <c r="A303" s="53" t="s">
        <v>116</v>
      </c>
      <c r="B303" s="53" t="s">
        <v>129</v>
      </c>
      <c r="C303" s="53" t="s">
        <v>124</v>
      </c>
      <c r="D303" s="54">
        <v>0.61000000000000032</v>
      </c>
    </row>
    <row r="304" spans="1:4" x14ac:dyDescent="0.25">
      <c r="A304" s="53" t="s">
        <v>116</v>
      </c>
      <c r="B304" s="53" t="s">
        <v>129</v>
      </c>
      <c r="C304" s="53" t="s">
        <v>150</v>
      </c>
      <c r="D304" s="54">
        <v>5.3000000000000012E-2</v>
      </c>
    </row>
    <row r="305" spans="1:4" x14ac:dyDescent="0.25">
      <c r="A305" s="53" t="s">
        <v>116</v>
      </c>
      <c r="B305" s="53" t="s">
        <v>129</v>
      </c>
      <c r="C305" s="53" t="s">
        <v>138</v>
      </c>
      <c r="D305" s="54">
        <v>6.0000000000000012E-2</v>
      </c>
    </row>
    <row r="306" spans="1:4" x14ac:dyDescent="0.25">
      <c r="A306" s="53" t="s">
        <v>116</v>
      </c>
      <c r="B306" s="53" t="s">
        <v>129</v>
      </c>
      <c r="C306" s="53" t="s">
        <v>125</v>
      </c>
      <c r="D306" s="54">
        <v>8.7999999999999995E-2</v>
      </c>
    </row>
    <row r="307" spans="1:4" x14ac:dyDescent="0.25">
      <c r="A307" s="53" t="s">
        <v>116</v>
      </c>
      <c r="B307" s="53" t="s">
        <v>129</v>
      </c>
      <c r="C307" s="53" t="s">
        <v>131</v>
      </c>
      <c r="D307" s="54">
        <v>1.4E-2</v>
      </c>
    </row>
    <row r="308" spans="1:4" x14ac:dyDescent="0.25">
      <c r="A308" s="53" t="s">
        <v>116</v>
      </c>
      <c r="B308" s="53" t="s">
        <v>129</v>
      </c>
      <c r="C308" s="53" t="s">
        <v>132</v>
      </c>
      <c r="D308" s="54">
        <v>1.7000000000000001E-2</v>
      </c>
    </row>
    <row r="309" spans="1:4" x14ac:dyDescent="0.25">
      <c r="A309" s="53" t="s">
        <v>116</v>
      </c>
      <c r="B309" s="53" t="s">
        <v>137</v>
      </c>
      <c r="C309" s="53" t="s">
        <v>119</v>
      </c>
      <c r="D309" s="54">
        <v>12.345999999999989</v>
      </c>
    </row>
    <row r="310" spans="1:4" x14ac:dyDescent="0.25">
      <c r="A310" s="53" t="s">
        <v>116</v>
      </c>
      <c r="B310" s="53" t="s">
        <v>137</v>
      </c>
      <c r="C310" s="53" t="s">
        <v>149</v>
      </c>
      <c r="D310" s="54">
        <v>0.42800000000000021</v>
      </c>
    </row>
    <row r="311" spans="1:4" x14ac:dyDescent="0.25">
      <c r="A311" s="53" t="s">
        <v>116</v>
      </c>
      <c r="B311" s="53" t="s">
        <v>137</v>
      </c>
      <c r="C311" s="53" t="s">
        <v>141</v>
      </c>
      <c r="D311" s="54">
        <v>1.0329999999999999</v>
      </c>
    </row>
    <row r="312" spans="1:4" x14ac:dyDescent="0.25">
      <c r="A312" s="53" t="s">
        <v>116</v>
      </c>
      <c r="B312" s="53" t="s">
        <v>137</v>
      </c>
      <c r="C312" s="53" t="s">
        <v>147</v>
      </c>
      <c r="D312" s="54">
        <v>8.2530000000000001</v>
      </c>
    </row>
    <row r="313" spans="1:4" x14ac:dyDescent="0.25">
      <c r="A313" s="53" t="s">
        <v>116</v>
      </c>
      <c r="B313" s="53" t="s">
        <v>137</v>
      </c>
      <c r="C313" s="53" t="s">
        <v>164</v>
      </c>
      <c r="D313" s="54">
        <v>8.0000000000000002E-3</v>
      </c>
    </row>
    <row r="314" spans="1:4" x14ac:dyDescent="0.25">
      <c r="A314" s="53" t="s">
        <v>116</v>
      </c>
      <c r="B314" s="53" t="s">
        <v>137</v>
      </c>
      <c r="C314" s="53" t="s">
        <v>140</v>
      </c>
      <c r="D314" s="54">
        <v>1.415999999999995</v>
      </c>
    </row>
    <row r="315" spans="1:4" x14ac:dyDescent="0.25">
      <c r="A315" s="53" t="s">
        <v>116</v>
      </c>
      <c r="B315" s="53" t="s">
        <v>137</v>
      </c>
      <c r="C315" s="53" t="s">
        <v>121</v>
      </c>
      <c r="D315" s="54">
        <v>0.75400000000000023</v>
      </c>
    </row>
    <row r="316" spans="1:4" x14ac:dyDescent="0.25">
      <c r="A316" s="53" t="s">
        <v>116</v>
      </c>
      <c r="B316" s="53" t="s">
        <v>137</v>
      </c>
      <c r="C316" s="53" t="s">
        <v>159</v>
      </c>
      <c r="D316" s="54">
        <v>0.1400000000000001</v>
      </c>
    </row>
    <row r="317" spans="1:4" x14ac:dyDescent="0.25">
      <c r="A317" s="53" t="s">
        <v>116</v>
      </c>
      <c r="B317" s="53" t="s">
        <v>137</v>
      </c>
      <c r="C317" s="53" t="s">
        <v>128</v>
      </c>
      <c r="D317" s="54">
        <v>0.127</v>
      </c>
    </row>
    <row r="318" spans="1:4" x14ac:dyDescent="0.25">
      <c r="A318" s="53" t="s">
        <v>116</v>
      </c>
      <c r="B318" s="53" t="s">
        <v>137</v>
      </c>
      <c r="C318" s="53" t="s">
        <v>139</v>
      </c>
      <c r="D318" s="54">
        <v>14.51700000000001</v>
      </c>
    </row>
    <row r="319" spans="1:4" x14ac:dyDescent="0.25">
      <c r="A319" s="53" t="s">
        <v>116</v>
      </c>
      <c r="B319" s="53" t="s">
        <v>137</v>
      </c>
      <c r="C319" s="53" t="s">
        <v>123</v>
      </c>
      <c r="D319" s="54">
        <v>4.1109999999999998</v>
      </c>
    </row>
    <row r="320" spans="1:4" x14ac:dyDescent="0.25">
      <c r="A320" s="53" t="s">
        <v>116</v>
      </c>
      <c r="B320" s="53" t="s">
        <v>137</v>
      </c>
      <c r="C320" s="53" t="s">
        <v>148</v>
      </c>
      <c r="D320" s="54">
        <v>3.4379999999999868</v>
      </c>
    </row>
    <row r="321" spans="1:4" x14ac:dyDescent="0.25">
      <c r="A321" s="53" t="s">
        <v>116</v>
      </c>
      <c r="B321" s="53" t="s">
        <v>137</v>
      </c>
      <c r="C321" s="53" t="s">
        <v>124</v>
      </c>
      <c r="D321" s="54">
        <v>5.468</v>
      </c>
    </row>
    <row r="322" spans="1:4" x14ac:dyDescent="0.25">
      <c r="A322" s="53" t="s">
        <v>116</v>
      </c>
      <c r="B322" s="53" t="s">
        <v>137</v>
      </c>
      <c r="C322" s="53" t="s">
        <v>150</v>
      </c>
      <c r="D322" s="54">
        <v>3.9059999999999988</v>
      </c>
    </row>
    <row r="323" spans="1:4" x14ac:dyDescent="0.25">
      <c r="A323" s="53" t="s">
        <v>116</v>
      </c>
      <c r="B323" s="53" t="s">
        <v>137</v>
      </c>
      <c r="C323" s="53" t="s">
        <v>138</v>
      </c>
      <c r="D323" s="54">
        <v>1.299999999999996</v>
      </c>
    </row>
    <row r="324" spans="1:4" x14ac:dyDescent="0.25">
      <c r="A324" s="53" t="s">
        <v>116</v>
      </c>
      <c r="B324" s="53" t="s">
        <v>137</v>
      </c>
      <c r="C324" s="53" t="s">
        <v>125</v>
      </c>
      <c r="D324" s="54">
        <v>3.3189999999999991</v>
      </c>
    </row>
    <row r="325" spans="1:4" x14ac:dyDescent="0.25">
      <c r="A325" s="53" t="s">
        <v>116</v>
      </c>
      <c r="B325" s="53" t="s">
        <v>137</v>
      </c>
      <c r="C325" s="53" t="s">
        <v>131</v>
      </c>
      <c r="D325" s="54">
        <v>1.0629999999999999</v>
      </c>
    </row>
    <row r="326" spans="1:4" x14ac:dyDescent="0.25">
      <c r="A326" s="53" t="s">
        <v>116</v>
      </c>
      <c r="B326" s="53" t="s">
        <v>137</v>
      </c>
      <c r="C326" s="53" t="s">
        <v>132</v>
      </c>
      <c r="D326" s="54">
        <v>1.601</v>
      </c>
    </row>
    <row r="327" spans="1:4" x14ac:dyDescent="0.25">
      <c r="A327" s="53" t="s">
        <v>116</v>
      </c>
      <c r="B327" s="53" t="s">
        <v>124</v>
      </c>
      <c r="C327" s="53" t="s">
        <v>120</v>
      </c>
      <c r="D327" s="54">
        <v>21.878</v>
      </c>
    </row>
    <row r="328" spans="1:4" x14ac:dyDescent="0.25">
      <c r="A328" s="53" t="s">
        <v>116</v>
      </c>
      <c r="B328" s="53" t="s">
        <v>124</v>
      </c>
      <c r="C328" s="53" t="s">
        <v>142</v>
      </c>
      <c r="D328" s="54">
        <v>2.0529999999999982</v>
      </c>
    </row>
    <row r="329" spans="1:4" x14ac:dyDescent="0.25">
      <c r="A329" s="53" t="s">
        <v>116</v>
      </c>
      <c r="B329" s="53" t="s">
        <v>124</v>
      </c>
      <c r="C329" s="53" t="s">
        <v>145</v>
      </c>
      <c r="D329" s="54">
        <v>3.595999999999997</v>
      </c>
    </row>
    <row r="330" spans="1:4" x14ac:dyDescent="0.25">
      <c r="A330" s="53" t="s">
        <v>116</v>
      </c>
      <c r="B330" s="53" t="s">
        <v>124</v>
      </c>
      <c r="C330" s="53" t="s">
        <v>119</v>
      </c>
      <c r="D330" s="54">
        <v>20.622</v>
      </c>
    </row>
    <row r="331" spans="1:4" x14ac:dyDescent="0.25">
      <c r="A331" s="53" t="s">
        <v>116</v>
      </c>
      <c r="B331" s="53" t="s">
        <v>124</v>
      </c>
      <c r="C331" s="53" t="s">
        <v>133</v>
      </c>
      <c r="D331" s="54">
        <v>14.766999999999991</v>
      </c>
    </row>
    <row r="332" spans="1:4" x14ac:dyDescent="0.25">
      <c r="A332" s="53" t="s">
        <v>116</v>
      </c>
      <c r="B332" s="53" t="s">
        <v>124</v>
      </c>
      <c r="C332" s="53" t="s">
        <v>149</v>
      </c>
      <c r="D332" s="54">
        <v>7.1019999999999959</v>
      </c>
    </row>
    <row r="333" spans="1:4" x14ac:dyDescent="0.25">
      <c r="A333" s="53" t="s">
        <v>116</v>
      </c>
      <c r="B333" s="53" t="s">
        <v>124</v>
      </c>
      <c r="C333" s="53" t="s">
        <v>130</v>
      </c>
      <c r="D333" s="54">
        <v>25.688999999999989</v>
      </c>
    </row>
    <row r="334" spans="1:4" x14ac:dyDescent="0.25">
      <c r="A334" s="53" t="s">
        <v>116</v>
      </c>
      <c r="B334" s="53" t="s">
        <v>124</v>
      </c>
      <c r="C334" s="53" t="s">
        <v>151</v>
      </c>
      <c r="D334" s="54">
        <v>0.90200000000000036</v>
      </c>
    </row>
    <row r="335" spans="1:4" x14ac:dyDescent="0.25">
      <c r="A335" s="53" t="s">
        <v>116</v>
      </c>
      <c r="B335" s="53" t="s">
        <v>124</v>
      </c>
      <c r="C335" s="53" t="s">
        <v>153</v>
      </c>
      <c r="D335" s="54">
        <v>0.97100000000000042</v>
      </c>
    </row>
    <row r="336" spans="1:4" x14ac:dyDescent="0.25">
      <c r="A336" s="53" t="s">
        <v>116</v>
      </c>
      <c r="B336" s="53" t="s">
        <v>124</v>
      </c>
      <c r="C336" s="53" t="s">
        <v>134</v>
      </c>
      <c r="D336" s="54">
        <v>3.6749999999999998</v>
      </c>
    </row>
    <row r="337" spans="1:4" x14ac:dyDescent="0.25">
      <c r="A337" s="53" t="s">
        <v>116</v>
      </c>
      <c r="B337" s="53" t="s">
        <v>124</v>
      </c>
      <c r="C337" s="53" t="s">
        <v>136</v>
      </c>
      <c r="D337" s="54">
        <v>15.577999999999999</v>
      </c>
    </row>
    <row r="338" spans="1:4" x14ac:dyDescent="0.25">
      <c r="A338" s="53" t="s">
        <v>116</v>
      </c>
      <c r="B338" s="53" t="s">
        <v>124</v>
      </c>
      <c r="C338" s="53" t="s">
        <v>127</v>
      </c>
      <c r="D338" s="54">
        <v>37.918999999999997</v>
      </c>
    </row>
    <row r="339" spans="1:4" x14ac:dyDescent="0.25">
      <c r="A339" s="53" t="s">
        <v>116</v>
      </c>
      <c r="B339" s="53" t="s">
        <v>124</v>
      </c>
      <c r="C339" s="53" t="s">
        <v>160</v>
      </c>
      <c r="D339" s="54">
        <v>9.9000000000000032E-2</v>
      </c>
    </row>
    <row r="340" spans="1:4" x14ac:dyDescent="0.25">
      <c r="A340" s="53" t="s">
        <v>116</v>
      </c>
      <c r="B340" s="53" t="s">
        <v>124</v>
      </c>
      <c r="C340" s="53" t="s">
        <v>144</v>
      </c>
      <c r="D340" s="54">
        <v>15.106</v>
      </c>
    </row>
    <row r="341" spans="1:4" x14ac:dyDescent="0.25">
      <c r="A341" s="53" t="s">
        <v>116</v>
      </c>
      <c r="B341" s="53" t="s">
        <v>124</v>
      </c>
      <c r="C341" s="53" t="s">
        <v>162</v>
      </c>
      <c r="D341" s="54">
        <v>0.92900000000000027</v>
      </c>
    </row>
    <row r="342" spans="1:4" x14ac:dyDescent="0.25">
      <c r="A342" s="53" t="s">
        <v>116</v>
      </c>
      <c r="B342" s="53" t="s">
        <v>124</v>
      </c>
      <c r="C342" s="53" t="s">
        <v>161</v>
      </c>
      <c r="D342" s="54">
        <v>2.3799999999999968</v>
      </c>
    </row>
    <row r="343" spans="1:4" x14ac:dyDescent="0.25">
      <c r="A343" s="53" t="s">
        <v>116</v>
      </c>
      <c r="B343" s="53" t="s">
        <v>124</v>
      </c>
      <c r="C343" s="53" t="s">
        <v>163</v>
      </c>
      <c r="D343" s="54">
        <v>3.25999999999999</v>
      </c>
    </row>
    <row r="344" spans="1:4" x14ac:dyDescent="0.25">
      <c r="A344" s="53" t="s">
        <v>116</v>
      </c>
      <c r="B344" s="53" t="s">
        <v>124</v>
      </c>
      <c r="C344" s="53" t="s">
        <v>141</v>
      </c>
      <c r="D344" s="54">
        <v>35.706999999999987</v>
      </c>
    </row>
    <row r="345" spans="1:4" x14ac:dyDescent="0.25">
      <c r="A345" s="53" t="s">
        <v>116</v>
      </c>
      <c r="B345" s="53" t="s">
        <v>124</v>
      </c>
      <c r="C345" s="53" t="s">
        <v>147</v>
      </c>
      <c r="D345" s="54">
        <v>22.257000000000001</v>
      </c>
    </row>
    <row r="346" spans="1:4" x14ac:dyDescent="0.25">
      <c r="A346" s="53" t="s">
        <v>116</v>
      </c>
      <c r="B346" s="53" t="s">
        <v>124</v>
      </c>
      <c r="C346" s="53" t="s">
        <v>158</v>
      </c>
      <c r="D346" s="54">
        <v>0.88900000000000046</v>
      </c>
    </row>
    <row r="347" spans="1:4" x14ac:dyDescent="0.25">
      <c r="A347" s="53" t="s">
        <v>116</v>
      </c>
      <c r="B347" s="53" t="s">
        <v>124</v>
      </c>
      <c r="C347" s="53" t="s">
        <v>146</v>
      </c>
      <c r="D347" s="54">
        <v>6.8899999999999917</v>
      </c>
    </row>
    <row r="348" spans="1:4" x14ac:dyDescent="0.25">
      <c r="A348" s="53" t="s">
        <v>116</v>
      </c>
      <c r="B348" s="53" t="s">
        <v>124</v>
      </c>
      <c r="C348" s="53" t="s">
        <v>140</v>
      </c>
      <c r="D348" s="54">
        <v>8.93</v>
      </c>
    </row>
    <row r="349" spans="1:4" x14ac:dyDescent="0.25">
      <c r="A349" s="53" t="s">
        <v>116</v>
      </c>
      <c r="B349" s="53" t="s">
        <v>124</v>
      </c>
      <c r="C349" s="53" t="s">
        <v>121</v>
      </c>
      <c r="D349" s="54">
        <v>45.487999999999992</v>
      </c>
    </row>
    <row r="350" spans="1:4" x14ac:dyDescent="0.25">
      <c r="A350" s="53" t="s">
        <v>116</v>
      </c>
      <c r="B350" s="53" t="s">
        <v>124</v>
      </c>
      <c r="C350" s="53" t="s">
        <v>159</v>
      </c>
      <c r="D350" s="54">
        <v>6.6099999999999826</v>
      </c>
    </row>
    <row r="351" spans="1:4" x14ac:dyDescent="0.25">
      <c r="A351" s="53" t="s">
        <v>116</v>
      </c>
      <c r="B351" s="53" t="s">
        <v>124</v>
      </c>
      <c r="C351" s="53" t="s">
        <v>129</v>
      </c>
      <c r="D351" s="54">
        <v>112.5680000000001</v>
      </c>
    </row>
    <row r="352" spans="1:4" x14ac:dyDescent="0.25">
      <c r="A352" s="53" t="s">
        <v>116</v>
      </c>
      <c r="B352" s="53" t="s">
        <v>124</v>
      </c>
      <c r="C352" s="53" t="s">
        <v>128</v>
      </c>
      <c r="D352" s="54">
        <v>115.34699999999999</v>
      </c>
    </row>
    <row r="353" spans="1:4" x14ac:dyDescent="0.25">
      <c r="A353" s="53" t="s">
        <v>116</v>
      </c>
      <c r="B353" s="53" t="s">
        <v>124</v>
      </c>
      <c r="C353" s="53" t="s">
        <v>156</v>
      </c>
      <c r="D353" s="54">
        <v>11.672999999999989</v>
      </c>
    </row>
    <row r="354" spans="1:4" x14ac:dyDescent="0.25">
      <c r="A354" s="53" t="s">
        <v>116</v>
      </c>
      <c r="B354" s="53" t="s">
        <v>124</v>
      </c>
      <c r="C354" s="53" t="s">
        <v>137</v>
      </c>
      <c r="D354" s="54">
        <v>34.639999999999993</v>
      </c>
    </row>
    <row r="355" spans="1:4" x14ac:dyDescent="0.25">
      <c r="A355" s="53" t="s">
        <v>116</v>
      </c>
      <c r="B355" s="53" t="s">
        <v>124</v>
      </c>
      <c r="C355" s="53" t="s">
        <v>172</v>
      </c>
      <c r="D355" s="54">
        <v>2.4E-2</v>
      </c>
    </row>
    <row r="356" spans="1:4" x14ac:dyDescent="0.25">
      <c r="A356" s="53" t="s">
        <v>116</v>
      </c>
      <c r="B356" s="53" t="s">
        <v>124</v>
      </c>
      <c r="C356" s="53" t="s">
        <v>139</v>
      </c>
      <c r="D356" s="54">
        <v>2.2810000000000001</v>
      </c>
    </row>
    <row r="357" spans="1:4" x14ac:dyDescent="0.25">
      <c r="A357" s="53" t="s">
        <v>116</v>
      </c>
      <c r="B357" s="53" t="s">
        <v>124</v>
      </c>
      <c r="C357" s="53" t="s">
        <v>169</v>
      </c>
      <c r="D357" s="54">
        <v>0.11799999999999999</v>
      </c>
    </row>
    <row r="358" spans="1:4" x14ac:dyDescent="0.25">
      <c r="A358" s="53" t="s">
        <v>116</v>
      </c>
      <c r="B358" s="53" t="s">
        <v>124</v>
      </c>
      <c r="C358" s="53" t="s">
        <v>123</v>
      </c>
      <c r="D358" s="54">
        <v>86.335999999999999</v>
      </c>
    </row>
    <row r="359" spans="1:4" x14ac:dyDescent="0.25">
      <c r="A359" s="53" t="s">
        <v>116</v>
      </c>
      <c r="B359" s="53" t="s">
        <v>124</v>
      </c>
      <c r="C359" s="53" t="s">
        <v>166</v>
      </c>
      <c r="D359" s="54">
        <v>7.0000000000000001E-3</v>
      </c>
    </row>
    <row r="360" spans="1:4" x14ac:dyDescent="0.25">
      <c r="A360" s="53" t="s">
        <v>116</v>
      </c>
      <c r="B360" s="53" t="s">
        <v>124</v>
      </c>
      <c r="C360" s="53" t="s">
        <v>148</v>
      </c>
      <c r="D360" s="54">
        <v>21.811999999999991</v>
      </c>
    </row>
    <row r="361" spans="1:4" x14ac:dyDescent="0.25">
      <c r="A361" s="53" t="s">
        <v>116</v>
      </c>
      <c r="B361" s="53" t="s">
        <v>124</v>
      </c>
      <c r="C361" s="53" t="s">
        <v>135</v>
      </c>
      <c r="D361" s="54">
        <v>5.5120000000000013</v>
      </c>
    </row>
    <row r="362" spans="1:4" x14ac:dyDescent="0.25">
      <c r="A362" s="53" t="s">
        <v>116</v>
      </c>
      <c r="B362" s="53" t="s">
        <v>124</v>
      </c>
      <c r="C362" s="53" t="s">
        <v>124</v>
      </c>
      <c r="D362" s="54">
        <v>8.9039999999999981</v>
      </c>
    </row>
    <row r="363" spans="1:4" x14ac:dyDescent="0.25">
      <c r="A363" s="53" t="s">
        <v>116</v>
      </c>
      <c r="B363" s="53" t="s">
        <v>124</v>
      </c>
      <c r="C363" s="53" t="s">
        <v>167</v>
      </c>
      <c r="D363" s="54">
        <v>2.8000000000000011E-2</v>
      </c>
    </row>
    <row r="364" spans="1:4" x14ac:dyDescent="0.25">
      <c r="A364" s="53" t="s">
        <v>116</v>
      </c>
      <c r="B364" s="53" t="s">
        <v>124</v>
      </c>
      <c r="C364" s="53" t="s">
        <v>155</v>
      </c>
      <c r="D364" s="54">
        <v>2.890999999999996</v>
      </c>
    </row>
    <row r="365" spans="1:4" x14ac:dyDescent="0.25">
      <c r="A365" s="53" t="s">
        <v>116</v>
      </c>
      <c r="B365" s="53" t="s">
        <v>124</v>
      </c>
      <c r="C365" s="53" t="s">
        <v>154</v>
      </c>
      <c r="D365" s="54">
        <v>2.863999999999999</v>
      </c>
    </row>
    <row r="366" spans="1:4" x14ac:dyDescent="0.25">
      <c r="A366" s="53" t="s">
        <v>116</v>
      </c>
      <c r="B366" s="53" t="s">
        <v>124</v>
      </c>
      <c r="C366" s="53" t="s">
        <v>143</v>
      </c>
      <c r="D366" s="54">
        <v>14.046999999999979</v>
      </c>
    </row>
    <row r="367" spans="1:4" x14ac:dyDescent="0.25">
      <c r="A367" s="53" t="s">
        <v>116</v>
      </c>
      <c r="B367" s="53" t="s">
        <v>124</v>
      </c>
      <c r="C367" s="53" t="s">
        <v>138</v>
      </c>
      <c r="D367" s="54">
        <v>38.885000000000034</v>
      </c>
    </row>
    <row r="368" spans="1:4" x14ac:dyDescent="0.25">
      <c r="A368" s="53" t="s">
        <v>116</v>
      </c>
      <c r="B368" s="53" t="s">
        <v>124</v>
      </c>
      <c r="C368" s="53" t="s">
        <v>157</v>
      </c>
      <c r="D368" s="54">
        <v>2.2139999999999969</v>
      </c>
    </row>
    <row r="369" spans="1:4" x14ac:dyDescent="0.25">
      <c r="A369" s="53" t="s">
        <v>116</v>
      </c>
      <c r="B369" s="53" t="s">
        <v>124</v>
      </c>
      <c r="C369" s="53" t="s">
        <v>170</v>
      </c>
      <c r="D369" s="54">
        <v>0.2020000000000001</v>
      </c>
    </row>
    <row r="370" spans="1:4" x14ac:dyDescent="0.25">
      <c r="A370" s="53" t="s">
        <v>116</v>
      </c>
      <c r="B370" s="53" t="s">
        <v>124</v>
      </c>
      <c r="C370" s="53" t="s">
        <v>125</v>
      </c>
      <c r="D370" s="54">
        <v>48.425000000000018</v>
      </c>
    </row>
    <row r="371" spans="1:4" x14ac:dyDescent="0.25">
      <c r="A371" s="53" t="s">
        <v>116</v>
      </c>
      <c r="B371" s="53" t="s">
        <v>124</v>
      </c>
      <c r="C371" s="53" t="s">
        <v>122</v>
      </c>
      <c r="D371" s="54">
        <v>19.152000000000001</v>
      </c>
    </row>
    <row r="372" spans="1:4" x14ac:dyDescent="0.25">
      <c r="A372" s="53" t="s">
        <v>116</v>
      </c>
      <c r="B372" s="53" t="s">
        <v>124</v>
      </c>
      <c r="C372" s="53" t="s">
        <v>152</v>
      </c>
      <c r="D372" s="54">
        <v>6.8309999999999969</v>
      </c>
    </row>
    <row r="373" spans="1:4" x14ac:dyDescent="0.25">
      <c r="A373" s="53" t="s">
        <v>116</v>
      </c>
      <c r="B373" s="53" t="s">
        <v>124</v>
      </c>
      <c r="C373" s="53" t="s">
        <v>126</v>
      </c>
      <c r="D373" s="54">
        <v>53.148000000000032</v>
      </c>
    </row>
    <row r="374" spans="1:4" x14ac:dyDescent="0.25">
      <c r="A374" s="53" t="s">
        <v>116</v>
      </c>
      <c r="B374" s="53" t="s">
        <v>124</v>
      </c>
      <c r="C374" s="53" t="s">
        <v>171</v>
      </c>
      <c r="D374" s="54">
        <v>3.1E-2</v>
      </c>
    </row>
    <row r="375" spans="1:4" x14ac:dyDescent="0.25">
      <c r="A375" s="53" t="s">
        <v>116</v>
      </c>
      <c r="B375" s="53" t="s">
        <v>124</v>
      </c>
      <c r="C375" s="53" t="s">
        <v>165</v>
      </c>
      <c r="D375" s="54">
        <v>1.9E-2</v>
      </c>
    </row>
    <row r="376" spans="1:4" x14ac:dyDescent="0.25">
      <c r="A376" s="53" t="s">
        <v>116</v>
      </c>
      <c r="B376" s="53" t="s">
        <v>124</v>
      </c>
      <c r="C376" s="53" t="s">
        <v>132</v>
      </c>
      <c r="D376" s="54">
        <v>95.327000000000197</v>
      </c>
    </row>
    <row r="377" spans="1:4" x14ac:dyDescent="0.25">
      <c r="A377" s="53" t="s">
        <v>116</v>
      </c>
      <c r="B377" s="53" t="s">
        <v>124</v>
      </c>
      <c r="C377" s="53" t="s">
        <v>168</v>
      </c>
      <c r="D377" s="54">
        <v>2E-3</v>
      </c>
    </row>
    <row r="378" spans="1:4" x14ac:dyDescent="0.25">
      <c r="A378" s="53" t="s">
        <v>116</v>
      </c>
      <c r="B378" s="53" t="s">
        <v>125</v>
      </c>
      <c r="C378" s="53" t="s">
        <v>120</v>
      </c>
      <c r="D378" s="54">
        <v>4.7E-2</v>
      </c>
    </row>
    <row r="379" spans="1:4" x14ac:dyDescent="0.25">
      <c r="A379" s="53" t="s">
        <v>116</v>
      </c>
      <c r="B379" s="53" t="s">
        <v>125</v>
      </c>
      <c r="C379" s="53" t="s">
        <v>130</v>
      </c>
      <c r="D379" s="54">
        <v>2E-3</v>
      </c>
    </row>
    <row r="380" spans="1:4" x14ac:dyDescent="0.25">
      <c r="A380" s="53" t="s">
        <v>116</v>
      </c>
      <c r="B380" s="53" t="s">
        <v>125</v>
      </c>
      <c r="C380" s="53" t="s">
        <v>136</v>
      </c>
      <c r="D380" s="54">
        <v>3.0000000000000001E-3</v>
      </c>
    </row>
    <row r="381" spans="1:4" x14ac:dyDescent="0.25">
      <c r="A381" s="53" t="s">
        <v>116</v>
      </c>
      <c r="B381" s="53" t="s">
        <v>125</v>
      </c>
      <c r="C381" s="53" t="s">
        <v>127</v>
      </c>
      <c r="D381" s="54">
        <v>0.16200000000000001</v>
      </c>
    </row>
    <row r="382" spans="1:4" x14ac:dyDescent="0.25">
      <c r="A382" s="53" t="s">
        <v>116</v>
      </c>
      <c r="B382" s="53" t="s">
        <v>125</v>
      </c>
      <c r="C382" s="53" t="s">
        <v>135</v>
      </c>
      <c r="D382" s="54">
        <v>1.7000000000000001E-2</v>
      </c>
    </row>
    <row r="383" spans="1:4" x14ac:dyDescent="0.25">
      <c r="A383" s="53" t="s">
        <v>116</v>
      </c>
      <c r="B383" s="53" t="s">
        <v>125</v>
      </c>
      <c r="C383" s="53" t="s">
        <v>143</v>
      </c>
      <c r="D383" s="54">
        <v>4.2000000000000003E-2</v>
      </c>
    </row>
    <row r="384" spans="1:4" x14ac:dyDescent="0.25">
      <c r="A384" s="53" t="s">
        <v>116</v>
      </c>
      <c r="B384" s="53" t="s">
        <v>125</v>
      </c>
      <c r="C384" s="53" t="s">
        <v>122</v>
      </c>
      <c r="D384" s="54">
        <v>8.8000000000000009E-2</v>
      </c>
    </row>
    <row r="385" spans="1:4" x14ac:dyDescent="0.25">
      <c r="A385" s="53" t="s">
        <v>116</v>
      </c>
      <c r="B385" s="53" t="s">
        <v>122</v>
      </c>
      <c r="C385" s="53" t="s">
        <v>119</v>
      </c>
      <c r="D385" s="54">
        <v>5.000000000000001E-2</v>
      </c>
    </row>
    <row r="386" spans="1:4" x14ac:dyDescent="0.25">
      <c r="A386" s="53" t="s">
        <v>116</v>
      </c>
      <c r="B386" s="53" t="s">
        <v>122</v>
      </c>
      <c r="C386" s="53" t="s">
        <v>149</v>
      </c>
      <c r="D386" s="54">
        <v>6.0000000000000001E-3</v>
      </c>
    </row>
    <row r="387" spans="1:4" x14ac:dyDescent="0.25">
      <c r="A387" s="53" t="s">
        <v>116</v>
      </c>
      <c r="B387" s="53" t="s">
        <v>122</v>
      </c>
      <c r="C387" s="53" t="s">
        <v>147</v>
      </c>
      <c r="D387" s="54">
        <v>6.0000000000000001E-3</v>
      </c>
    </row>
    <row r="388" spans="1:4" x14ac:dyDescent="0.25">
      <c r="A388" s="53" t="s">
        <v>116</v>
      </c>
      <c r="B388" s="53" t="s">
        <v>122</v>
      </c>
      <c r="C388" s="53" t="s">
        <v>140</v>
      </c>
      <c r="D388" s="54">
        <v>9.0000000000000011E-3</v>
      </c>
    </row>
    <row r="389" spans="1:4" x14ac:dyDescent="0.25">
      <c r="A389" s="53" t="s">
        <v>116</v>
      </c>
      <c r="B389" s="53" t="s">
        <v>122</v>
      </c>
      <c r="C389" s="53" t="s">
        <v>159</v>
      </c>
      <c r="D389" s="54">
        <v>1E-3</v>
      </c>
    </row>
    <row r="390" spans="1:4" x14ac:dyDescent="0.25">
      <c r="A390" s="53" t="s">
        <v>116</v>
      </c>
      <c r="B390" s="53" t="s">
        <v>122</v>
      </c>
      <c r="C390" s="53" t="s">
        <v>123</v>
      </c>
      <c r="D390" s="54">
        <v>5.5999999999999987E-2</v>
      </c>
    </row>
    <row r="391" spans="1:4" x14ac:dyDescent="0.25">
      <c r="A391" s="53" t="s">
        <v>116</v>
      </c>
      <c r="B391" s="53" t="s">
        <v>122</v>
      </c>
      <c r="C391" s="53" t="s">
        <v>148</v>
      </c>
      <c r="D391" s="54">
        <v>3.0000000000000001E-3</v>
      </c>
    </row>
    <row r="392" spans="1:4" x14ac:dyDescent="0.25">
      <c r="A392" s="53" t="s">
        <v>116</v>
      </c>
      <c r="B392" s="53" t="s">
        <v>122</v>
      </c>
      <c r="C392" s="53" t="s">
        <v>124</v>
      </c>
      <c r="D392" s="54">
        <v>1.6E-2</v>
      </c>
    </row>
    <row r="393" spans="1:4" x14ac:dyDescent="0.25">
      <c r="A393" s="53" t="s">
        <v>116</v>
      </c>
      <c r="B393" s="53" t="s">
        <v>122</v>
      </c>
      <c r="C393" s="53" t="s">
        <v>138</v>
      </c>
      <c r="D393" s="54">
        <v>1E-3</v>
      </c>
    </row>
    <row r="394" spans="1:4" x14ac:dyDescent="0.25">
      <c r="A394" s="53" t="s">
        <v>116</v>
      </c>
      <c r="B394" s="53" t="s">
        <v>122</v>
      </c>
      <c r="C394" s="53" t="s">
        <v>125</v>
      </c>
      <c r="D394" s="54">
        <v>5.5E-2</v>
      </c>
    </row>
    <row r="395" spans="1:4" x14ac:dyDescent="0.25">
      <c r="A395" s="53" t="s">
        <v>116</v>
      </c>
      <c r="B395" s="53" t="s">
        <v>122</v>
      </c>
      <c r="C395" s="53" t="s">
        <v>132</v>
      </c>
      <c r="D395" s="54">
        <v>8.0000000000000002E-3</v>
      </c>
    </row>
    <row r="396" spans="1:4" x14ac:dyDescent="0.25">
      <c r="A396" s="53" t="s">
        <v>116</v>
      </c>
      <c r="B396" s="53" t="s">
        <v>132</v>
      </c>
      <c r="C396" s="53" t="s">
        <v>120</v>
      </c>
      <c r="D396" s="54">
        <v>4.0679999999999961</v>
      </c>
    </row>
    <row r="397" spans="1:4" x14ac:dyDescent="0.25">
      <c r="A397" s="53" t="s">
        <v>116</v>
      </c>
      <c r="B397" s="53" t="s">
        <v>132</v>
      </c>
      <c r="C397" s="53" t="s">
        <v>142</v>
      </c>
      <c r="D397" s="54">
        <v>2.5999999999999999E-2</v>
      </c>
    </row>
    <row r="398" spans="1:4" x14ac:dyDescent="0.25">
      <c r="A398" s="53" t="s">
        <v>116</v>
      </c>
      <c r="B398" s="53" t="s">
        <v>132</v>
      </c>
      <c r="C398" s="53" t="s">
        <v>133</v>
      </c>
      <c r="D398" s="54">
        <v>9.4E-2</v>
      </c>
    </row>
    <row r="399" spans="1:4" x14ac:dyDescent="0.25">
      <c r="A399" s="53" t="s">
        <v>116</v>
      </c>
      <c r="B399" s="53" t="s">
        <v>132</v>
      </c>
      <c r="C399" s="53" t="s">
        <v>130</v>
      </c>
      <c r="D399" s="54">
        <v>0.87300000000000055</v>
      </c>
    </row>
    <row r="400" spans="1:4" x14ac:dyDescent="0.25">
      <c r="A400" s="53" t="s">
        <v>116</v>
      </c>
      <c r="B400" s="53" t="s">
        <v>132</v>
      </c>
      <c r="C400" s="53" t="s">
        <v>151</v>
      </c>
      <c r="D400" s="54">
        <v>3.7000000000000019E-2</v>
      </c>
    </row>
    <row r="401" spans="1:4" x14ac:dyDescent="0.25">
      <c r="A401" s="53" t="s">
        <v>116</v>
      </c>
      <c r="B401" s="53" t="s">
        <v>132</v>
      </c>
      <c r="C401" s="53" t="s">
        <v>134</v>
      </c>
      <c r="D401" s="54">
        <v>0.317</v>
      </c>
    </row>
    <row r="402" spans="1:4" x14ac:dyDescent="0.25">
      <c r="A402" s="53" t="s">
        <v>116</v>
      </c>
      <c r="B402" s="53" t="s">
        <v>132</v>
      </c>
      <c r="C402" s="53" t="s">
        <v>136</v>
      </c>
      <c r="D402" s="54">
        <v>0.45200000000000012</v>
      </c>
    </row>
    <row r="403" spans="1:4" x14ac:dyDescent="0.25">
      <c r="A403" s="53" t="s">
        <v>116</v>
      </c>
      <c r="B403" s="53" t="s">
        <v>132</v>
      </c>
      <c r="C403" s="53" t="s">
        <v>127</v>
      </c>
      <c r="D403" s="54">
        <v>3.500999999999991</v>
      </c>
    </row>
    <row r="404" spans="1:4" x14ac:dyDescent="0.25">
      <c r="A404" s="53" t="s">
        <v>116</v>
      </c>
      <c r="B404" s="53" t="s">
        <v>132</v>
      </c>
      <c r="C404" s="53" t="s">
        <v>161</v>
      </c>
      <c r="D404" s="54">
        <v>9.0000000000000011E-3</v>
      </c>
    </row>
    <row r="405" spans="1:4" x14ac:dyDescent="0.25">
      <c r="A405" s="53" t="s">
        <v>116</v>
      </c>
      <c r="B405" s="53" t="s">
        <v>132</v>
      </c>
      <c r="C405" s="53" t="s">
        <v>158</v>
      </c>
      <c r="D405" s="54">
        <v>5.4000000000000013E-2</v>
      </c>
    </row>
    <row r="406" spans="1:4" x14ac:dyDescent="0.25">
      <c r="A406" s="53" t="s">
        <v>116</v>
      </c>
      <c r="B406" s="53" t="s">
        <v>132</v>
      </c>
      <c r="C406" s="53" t="s">
        <v>146</v>
      </c>
      <c r="D406" s="54">
        <v>6.2000000000000013E-2</v>
      </c>
    </row>
    <row r="407" spans="1:4" x14ac:dyDescent="0.25">
      <c r="A407" s="53" t="s">
        <v>116</v>
      </c>
      <c r="B407" s="53" t="s">
        <v>132</v>
      </c>
      <c r="C407" s="53" t="s">
        <v>121</v>
      </c>
      <c r="D407" s="54">
        <v>0.42500000000000032</v>
      </c>
    </row>
    <row r="408" spans="1:4" x14ac:dyDescent="0.25">
      <c r="A408" s="53" t="s">
        <v>116</v>
      </c>
      <c r="B408" s="53" t="s">
        <v>132</v>
      </c>
      <c r="C408" s="53" t="s">
        <v>159</v>
      </c>
      <c r="D408" s="54">
        <v>2E-3</v>
      </c>
    </row>
    <row r="409" spans="1:4" x14ac:dyDescent="0.25">
      <c r="A409" s="53" t="s">
        <v>116</v>
      </c>
      <c r="B409" s="53" t="s">
        <v>132</v>
      </c>
      <c r="C409" s="53" t="s">
        <v>156</v>
      </c>
      <c r="D409" s="54">
        <v>1.2999999999999999E-2</v>
      </c>
    </row>
    <row r="410" spans="1:4" x14ac:dyDescent="0.25">
      <c r="A410" s="53" t="s">
        <v>116</v>
      </c>
      <c r="B410" s="53" t="s">
        <v>132</v>
      </c>
      <c r="C410" s="53" t="s">
        <v>135</v>
      </c>
      <c r="D410" s="54">
        <v>0.42700000000000021</v>
      </c>
    </row>
    <row r="411" spans="1:4" x14ac:dyDescent="0.25">
      <c r="A411" s="53" t="s">
        <v>116</v>
      </c>
      <c r="B411" s="53" t="s">
        <v>132</v>
      </c>
      <c r="C411" s="53" t="s">
        <v>155</v>
      </c>
      <c r="D411" s="54">
        <v>3.1E-2</v>
      </c>
    </row>
    <row r="412" spans="1:4" x14ac:dyDescent="0.25">
      <c r="A412" s="53" t="s">
        <v>116</v>
      </c>
      <c r="B412" s="53" t="s">
        <v>132</v>
      </c>
      <c r="C412" s="53" t="s">
        <v>154</v>
      </c>
      <c r="D412" s="54">
        <v>2.9000000000000001E-2</v>
      </c>
    </row>
    <row r="413" spans="1:4" x14ac:dyDescent="0.25">
      <c r="A413" s="53" t="s">
        <v>116</v>
      </c>
      <c r="B413" s="53" t="s">
        <v>132</v>
      </c>
      <c r="C413" s="53" t="s">
        <v>143</v>
      </c>
      <c r="D413" s="54">
        <v>0.2880000000000002</v>
      </c>
    </row>
    <row r="414" spans="1:4" x14ac:dyDescent="0.25">
      <c r="A414" s="53" t="s">
        <v>116</v>
      </c>
      <c r="B414" s="53" t="s">
        <v>132</v>
      </c>
      <c r="C414" s="53" t="s">
        <v>122</v>
      </c>
      <c r="D414" s="54">
        <v>2.0989999999999909</v>
      </c>
    </row>
    <row r="415" spans="1:4" x14ac:dyDescent="0.25">
      <c r="A415" s="53" t="s">
        <v>116</v>
      </c>
      <c r="B415" s="53" t="s">
        <v>132</v>
      </c>
      <c r="C415" s="53" t="s">
        <v>152</v>
      </c>
      <c r="D415" s="54">
        <v>0.13700000000000001</v>
      </c>
    </row>
    <row r="416" spans="1:4" x14ac:dyDescent="0.25">
      <c r="A416" s="53" t="s">
        <v>116</v>
      </c>
      <c r="B416" s="53" t="s">
        <v>132</v>
      </c>
      <c r="C416" s="53" t="s">
        <v>126</v>
      </c>
      <c r="D416" s="54">
        <v>0.55099999999999993</v>
      </c>
    </row>
    <row r="417" spans="1:4" x14ac:dyDescent="0.25">
      <c r="A417" s="53" t="s">
        <v>116</v>
      </c>
      <c r="B417" s="53" t="s">
        <v>132</v>
      </c>
      <c r="C417" s="53" t="s">
        <v>165</v>
      </c>
      <c r="D417" s="54">
        <v>1E-3</v>
      </c>
    </row>
    <row r="418" spans="1:4" x14ac:dyDescent="0.25">
      <c r="A418" s="53" t="s">
        <v>115</v>
      </c>
      <c r="B418" s="53" t="s">
        <v>120</v>
      </c>
      <c r="C418" s="53" t="s">
        <v>124</v>
      </c>
      <c r="D418" s="54">
        <v>0.03</v>
      </c>
    </row>
    <row r="419" spans="1:4" x14ac:dyDescent="0.25">
      <c r="A419" s="53" t="s">
        <v>115</v>
      </c>
      <c r="B419" s="53" t="s">
        <v>145</v>
      </c>
      <c r="C419" s="53" t="s">
        <v>119</v>
      </c>
      <c r="D419" s="54">
        <v>2.906999999999996</v>
      </c>
    </row>
    <row r="420" spans="1:4" x14ac:dyDescent="0.25">
      <c r="A420" s="53" t="s">
        <v>115</v>
      </c>
      <c r="B420" s="53" t="s">
        <v>145</v>
      </c>
      <c r="C420" s="53" t="s">
        <v>133</v>
      </c>
      <c r="D420" s="54">
        <v>1.2E-2</v>
      </c>
    </row>
    <row r="421" spans="1:4" x14ac:dyDescent="0.25">
      <c r="A421" s="53" t="s">
        <v>115</v>
      </c>
      <c r="B421" s="53" t="s">
        <v>145</v>
      </c>
      <c r="C421" s="53" t="s">
        <v>130</v>
      </c>
      <c r="D421" s="54">
        <v>0.06</v>
      </c>
    </row>
    <row r="422" spans="1:4" x14ac:dyDescent="0.25">
      <c r="A422" s="53" t="s">
        <v>115</v>
      </c>
      <c r="B422" s="53" t="s">
        <v>145</v>
      </c>
      <c r="C422" s="53" t="s">
        <v>153</v>
      </c>
      <c r="D422" s="54">
        <v>1E-3</v>
      </c>
    </row>
    <row r="423" spans="1:4" x14ac:dyDescent="0.25">
      <c r="A423" s="53" t="s">
        <v>115</v>
      </c>
      <c r="B423" s="53" t="s">
        <v>145</v>
      </c>
      <c r="C423" s="53" t="s">
        <v>136</v>
      </c>
      <c r="D423" s="54">
        <v>0.98900000000000032</v>
      </c>
    </row>
    <row r="424" spans="1:4" x14ac:dyDescent="0.25">
      <c r="A424" s="53" t="s">
        <v>115</v>
      </c>
      <c r="B424" s="53" t="s">
        <v>145</v>
      </c>
      <c r="C424" s="53" t="s">
        <v>127</v>
      </c>
      <c r="D424" s="54">
        <v>0.76000000000000012</v>
      </c>
    </row>
    <row r="425" spans="1:4" x14ac:dyDescent="0.25">
      <c r="A425" s="53" t="s">
        <v>115</v>
      </c>
      <c r="B425" s="53" t="s">
        <v>145</v>
      </c>
      <c r="C425" s="53" t="s">
        <v>164</v>
      </c>
      <c r="D425" s="54">
        <v>4.6000000000000027E-2</v>
      </c>
    </row>
    <row r="426" spans="1:4" x14ac:dyDescent="0.25">
      <c r="A426" s="53" t="s">
        <v>115</v>
      </c>
      <c r="B426" s="53" t="s">
        <v>145</v>
      </c>
      <c r="C426" s="53" t="s">
        <v>140</v>
      </c>
      <c r="D426" s="54">
        <v>0.33700000000000019</v>
      </c>
    </row>
    <row r="427" spans="1:4" x14ac:dyDescent="0.25">
      <c r="A427" s="53" t="s">
        <v>115</v>
      </c>
      <c r="B427" s="53" t="s">
        <v>145</v>
      </c>
      <c r="C427" s="53" t="s">
        <v>121</v>
      </c>
      <c r="D427" s="54">
        <v>1.7000000000000001E-2</v>
      </c>
    </row>
    <row r="428" spans="1:4" x14ac:dyDescent="0.25">
      <c r="A428" s="53" t="s">
        <v>115</v>
      </c>
      <c r="B428" s="53" t="s">
        <v>145</v>
      </c>
      <c r="C428" s="53" t="s">
        <v>156</v>
      </c>
      <c r="D428" s="54">
        <v>1.2E-2</v>
      </c>
    </row>
    <row r="429" spans="1:4" x14ac:dyDescent="0.25">
      <c r="A429" s="53" t="s">
        <v>115</v>
      </c>
      <c r="B429" s="53" t="s">
        <v>145</v>
      </c>
      <c r="C429" s="53" t="s">
        <v>135</v>
      </c>
      <c r="D429" s="54">
        <v>0.13900000000000001</v>
      </c>
    </row>
    <row r="430" spans="1:4" x14ac:dyDescent="0.25">
      <c r="A430" s="53" t="s">
        <v>115</v>
      </c>
      <c r="B430" s="53" t="s">
        <v>145</v>
      </c>
      <c r="C430" s="53" t="s">
        <v>124</v>
      </c>
      <c r="D430" s="54">
        <v>4.4739999999999887</v>
      </c>
    </row>
    <row r="431" spans="1:4" x14ac:dyDescent="0.25">
      <c r="A431" s="53" t="s">
        <v>115</v>
      </c>
      <c r="B431" s="53" t="s">
        <v>145</v>
      </c>
      <c r="C431" s="53" t="s">
        <v>143</v>
      </c>
      <c r="D431" s="54">
        <v>0.04</v>
      </c>
    </row>
    <row r="432" spans="1:4" x14ac:dyDescent="0.25">
      <c r="A432" s="53" t="s">
        <v>115</v>
      </c>
      <c r="B432" s="53" t="s">
        <v>145</v>
      </c>
      <c r="C432" s="53" t="s">
        <v>122</v>
      </c>
      <c r="D432" s="54">
        <v>0.255</v>
      </c>
    </row>
    <row r="433" spans="1:4" x14ac:dyDescent="0.25">
      <c r="A433" s="53" t="s">
        <v>115</v>
      </c>
      <c r="B433" s="53" t="s">
        <v>145</v>
      </c>
      <c r="C433" s="53" t="s">
        <v>131</v>
      </c>
      <c r="D433" s="54">
        <v>0.50500000000000034</v>
      </c>
    </row>
    <row r="434" spans="1:4" x14ac:dyDescent="0.25">
      <c r="A434" s="53" t="s">
        <v>115</v>
      </c>
      <c r="B434" s="53" t="s">
        <v>119</v>
      </c>
      <c r="C434" s="53" t="s">
        <v>120</v>
      </c>
      <c r="D434" s="54">
        <v>246.30599999999501</v>
      </c>
    </row>
    <row r="435" spans="1:4" x14ac:dyDescent="0.25">
      <c r="A435" s="53" t="s">
        <v>115</v>
      </c>
      <c r="B435" s="53" t="s">
        <v>119</v>
      </c>
      <c r="C435" s="53" t="s">
        <v>142</v>
      </c>
      <c r="D435" s="54">
        <v>7.6670000000000256</v>
      </c>
    </row>
    <row r="436" spans="1:4" x14ac:dyDescent="0.25">
      <c r="A436" s="53" t="s">
        <v>115</v>
      </c>
      <c r="B436" s="53" t="s">
        <v>119</v>
      </c>
      <c r="C436" s="53" t="s">
        <v>145</v>
      </c>
      <c r="D436" s="54">
        <v>1.327</v>
      </c>
    </row>
    <row r="437" spans="1:4" x14ac:dyDescent="0.25">
      <c r="A437" s="53" t="s">
        <v>115</v>
      </c>
      <c r="B437" s="53" t="s">
        <v>119</v>
      </c>
      <c r="C437" s="53" t="s">
        <v>119</v>
      </c>
      <c r="D437" s="54">
        <v>30.440000000000019</v>
      </c>
    </row>
    <row r="438" spans="1:4" x14ac:dyDescent="0.25">
      <c r="A438" s="53" t="s">
        <v>115</v>
      </c>
      <c r="B438" s="53" t="s">
        <v>119</v>
      </c>
      <c r="C438" s="53" t="s">
        <v>133</v>
      </c>
      <c r="D438" s="54">
        <v>36.157999999999006</v>
      </c>
    </row>
    <row r="439" spans="1:4" x14ac:dyDescent="0.25">
      <c r="A439" s="53" t="s">
        <v>115</v>
      </c>
      <c r="B439" s="53" t="s">
        <v>119</v>
      </c>
      <c r="C439" s="53" t="s">
        <v>130</v>
      </c>
      <c r="D439" s="54">
        <v>85.178000000008495</v>
      </c>
    </row>
    <row r="440" spans="1:4" x14ac:dyDescent="0.25">
      <c r="A440" s="53" t="s">
        <v>115</v>
      </c>
      <c r="B440" s="53" t="s">
        <v>119</v>
      </c>
      <c r="C440" s="53" t="s">
        <v>151</v>
      </c>
      <c r="D440" s="54">
        <v>2.544999999999916</v>
      </c>
    </row>
    <row r="441" spans="1:4" x14ac:dyDescent="0.25">
      <c r="A441" s="53" t="s">
        <v>115</v>
      </c>
      <c r="B441" s="53" t="s">
        <v>119</v>
      </c>
      <c r="C441" s="53" t="s">
        <v>153</v>
      </c>
      <c r="D441" s="54">
        <v>0.18099999999999999</v>
      </c>
    </row>
    <row r="442" spans="1:4" x14ac:dyDescent="0.25">
      <c r="A442" s="53" t="s">
        <v>115</v>
      </c>
      <c r="B442" s="53" t="s">
        <v>119</v>
      </c>
      <c r="C442" s="53" t="s">
        <v>134</v>
      </c>
      <c r="D442" s="54">
        <v>40.426000000000009</v>
      </c>
    </row>
    <row r="443" spans="1:4" x14ac:dyDescent="0.25">
      <c r="A443" s="53" t="s">
        <v>115</v>
      </c>
      <c r="B443" s="53" t="s">
        <v>119</v>
      </c>
      <c r="C443" s="53" t="s">
        <v>136</v>
      </c>
      <c r="D443" s="54">
        <v>48.255000000000237</v>
      </c>
    </row>
    <row r="444" spans="1:4" x14ac:dyDescent="0.25">
      <c r="A444" s="53" t="s">
        <v>115</v>
      </c>
      <c r="B444" s="53" t="s">
        <v>119</v>
      </c>
      <c r="C444" s="53" t="s">
        <v>127</v>
      </c>
      <c r="D444" s="54">
        <v>570.51099999996052</v>
      </c>
    </row>
    <row r="445" spans="1:4" x14ac:dyDescent="0.25">
      <c r="A445" s="53" t="s">
        <v>115</v>
      </c>
      <c r="B445" s="53" t="s">
        <v>119</v>
      </c>
      <c r="C445" s="53" t="s">
        <v>160</v>
      </c>
      <c r="D445" s="54">
        <v>0.1480000000000001</v>
      </c>
    </row>
    <row r="446" spans="1:4" x14ac:dyDescent="0.25">
      <c r="A446" s="53" t="s">
        <v>115</v>
      </c>
      <c r="B446" s="53" t="s">
        <v>119</v>
      </c>
      <c r="C446" s="53" t="s">
        <v>162</v>
      </c>
      <c r="D446" s="54">
        <v>1.095999999999993</v>
      </c>
    </row>
    <row r="447" spans="1:4" x14ac:dyDescent="0.25">
      <c r="A447" s="53" t="s">
        <v>115</v>
      </c>
      <c r="B447" s="53" t="s">
        <v>119</v>
      </c>
      <c r="C447" s="53" t="s">
        <v>161</v>
      </c>
      <c r="D447" s="54">
        <v>3.1559999999999389</v>
      </c>
    </row>
    <row r="448" spans="1:4" x14ac:dyDescent="0.25">
      <c r="A448" s="53" t="s">
        <v>115</v>
      </c>
      <c r="B448" s="53" t="s">
        <v>119</v>
      </c>
      <c r="C448" s="53" t="s">
        <v>141</v>
      </c>
      <c r="D448" s="54">
        <v>0.13</v>
      </c>
    </row>
    <row r="449" spans="1:4" x14ac:dyDescent="0.25">
      <c r="A449" s="53" t="s">
        <v>115</v>
      </c>
      <c r="B449" s="53" t="s">
        <v>119</v>
      </c>
      <c r="C449" s="53" t="s">
        <v>147</v>
      </c>
      <c r="D449" s="54">
        <v>0.14699999999999999</v>
      </c>
    </row>
    <row r="450" spans="1:4" x14ac:dyDescent="0.25">
      <c r="A450" s="53" t="s">
        <v>115</v>
      </c>
      <c r="B450" s="53" t="s">
        <v>119</v>
      </c>
      <c r="C450" s="53" t="s">
        <v>158</v>
      </c>
      <c r="D450" s="54">
        <v>7.829000000000109</v>
      </c>
    </row>
    <row r="451" spans="1:4" x14ac:dyDescent="0.25">
      <c r="A451" s="53" t="s">
        <v>115</v>
      </c>
      <c r="B451" s="53" t="s">
        <v>119</v>
      </c>
      <c r="C451" s="53" t="s">
        <v>146</v>
      </c>
      <c r="D451" s="54">
        <v>20.513000000001149</v>
      </c>
    </row>
    <row r="452" spans="1:4" x14ac:dyDescent="0.25">
      <c r="A452" s="53" t="s">
        <v>115</v>
      </c>
      <c r="B452" s="53" t="s">
        <v>119</v>
      </c>
      <c r="C452" s="53" t="s">
        <v>140</v>
      </c>
      <c r="D452" s="54">
        <v>1.2639999999999929</v>
      </c>
    </row>
    <row r="453" spans="1:4" x14ac:dyDescent="0.25">
      <c r="A453" s="53" t="s">
        <v>115</v>
      </c>
      <c r="B453" s="53" t="s">
        <v>119</v>
      </c>
      <c r="C453" s="53" t="s">
        <v>121</v>
      </c>
      <c r="D453" s="54">
        <v>35.356000000000648</v>
      </c>
    </row>
    <row r="454" spans="1:4" x14ac:dyDescent="0.25">
      <c r="A454" s="53" t="s">
        <v>115</v>
      </c>
      <c r="B454" s="53" t="s">
        <v>119</v>
      </c>
      <c r="C454" s="53" t="s">
        <v>129</v>
      </c>
      <c r="D454" s="54">
        <v>6.3299999999999796</v>
      </c>
    </row>
    <row r="455" spans="1:4" x14ac:dyDescent="0.25">
      <c r="A455" s="53" t="s">
        <v>115</v>
      </c>
      <c r="B455" s="53" t="s">
        <v>119</v>
      </c>
      <c r="C455" s="53" t="s">
        <v>156</v>
      </c>
      <c r="D455" s="54">
        <v>3.3779999999998771</v>
      </c>
    </row>
    <row r="456" spans="1:4" x14ac:dyDescent="0.25">
      <c r="A456" s="53" t="s">
        <v>115</v>
      </c>
      <c r="B456" s="53" t="s">
        <v>119</v>
      </c>
      <c r="C456" s="53" t="s">
        <v>137</v>
      </c>
      <c r="D456" s="54">
        <v>9.1000000000000025E-2</v>
      </c>
    </row>
    <row r="457" spans="1:4" x14ac:dyDescent="0.25">
      <c r="A457" s="53" t="s">
        <v>115</v>
      </c>
      <c r="B457" s="53" t="s">
        <v>119</v>
      </c>
      <c r="C457" s="53" t="s">
        <v>166</v>
      </c>
      <c r="D457" s="54">
        <v>15.40899999999999</v>
      </c>
    </row>
    <row r="458" spans="1:4" x14ac:dyDescent="0.25">
      <c r="A458" s="53" t="s">
        <v>115</v>
      </c>
      <c r="B458" s="53" t="s">
        <v>119</v>
      </c>
      <c r="C458" s="53" t="s">
        <v>135</v>
      </c>
      <c r="D458" s="54">
        <v>42.980999999999902</v>
      </c>
    </row>
    <row r="459" spans="1:4" x14ac:dyDescent="0.25">
      <c r="A459" s="53" t="s">
        <v>115</v>
      </c>
      <c r="B459" s="53" t="s">
        <v>119</v>
      </c>
      <c r="C459" s="53" t="s">
        <v>124</v>
      </c>
      <c r="D459" s="54">
        <v>25.65700000000005</v>
      </c>
    </row>
    <row r="460" spans="1:4" x14ac:dyDescent="0.25">
      <c r="A460" s="53" t="s">
        <v>115</v>
      </c>
      <c r="B460" s="53" t="s">
        <v>119</v>
      </c>
      <c r="C460" s="53" t="s">
        <v>167</v>
      </c>
      <c r="D460" s="54">
        <v>1E-3</v>
      </c>
    </row>
    <row r="461" spans="1:4" x14ac:dyDescent="0.25">
      <c r="A461" s="53" t="s">
        <v>115</v>
      </c>
      <c r="B461" s="53" t="s">
        <v>119</v>
      </c>
      <c r="C461" s="53" t="s">
        <v>155</v>
      </c>
      <c r="D461" s="54">
        <v>4.4619999999999953</v>
      </c>
    </row>
    <row r="462" spans="1:4" x14ac:dyDescent="0.25">
      <c r="A462" s="53" t="s">
        <v>115</v>
      </c>
      <c r="B462" s="53" t="s">
        <v>119</v>
      </c>
      <c r="C462" s="53" t="s">
        <v>154</v>
      </c>
      <c r="D462" s="54">
        <v>5.5290000000000994</v>
      </c>
    </row>
    <row r="463" spans="1:4" x14ac:dyDescent="0.25">
      <c r="A463" s="53" t="s">
        <v>115</v>
      </c>
      <c r="B463" s="53" t="s">
        <v>119</v>
      </c>
      <c r="C463" s="53" t="s">
        <v>143</v>
      </c>
      <c r="D463" s="54">
        <v>12.887999999999449</v>
      </c>
    </row>
    <row r="464" spans="1:4" x14ac:dyDescent="0.25">
      <c r="A464" s="53" t="s">
        <v>115</v>
      </c>
      <c r="B464" s="53" t="s">
        <v>119</v>
      </c>
      <c r="C464" s="53" t="s">
        <v>157</v>
      </c>
      <c r="D464" s="54">
        <v>2E-3</v>
      </c>
    </row>
    <row r="465" spans="1:4" x14ac:dyDescent="0.25">
      <c r="A465" s="53" t="s">
        <v>115</v>
      </c>
      <c r="B465" s="53" t="s">
        <v>119</v>
      </c>
      <c r="C465" s="53" t="s">
        <v>125</v>
      </c>
      <c r="D465" s="54">
        <v>3.8010000000000002</v>
      </c>
    </row>
    <row r="466" spans="1:4" x14ac:dyDescent="0.25">
      <c r="A466" s="53" t="s">
        <v>115</v>
      </c>
      <c r="B466" s="53" t="s">
        <v>119</v>
      </c>
      <c r="C466" s="53" t="s">
        <v>122</v>
      </c>
      <c r="D466" s="54">
        <v>150.28700000000379</v>
      </c>
    </row>
    <row r="467" spans="1:4" x14ac:dyDescent="0.25">
      <c r="A467" s="53" t="s">
        <v>115</v>
      </c>
      <c r="B467" s="53" t="s">
        <v>119</v>
      </c>
      <c r="C467" s="53" t="s">
        <v>152</v>
      </c>
      <c r="D467" s="54">
        <v>14.373999999999871</v>
      </c>
    </row>
    <row r="468" spans="1:4" x14ac:dyDescent="0.25">
      <c r="A468" s="53" t="s">
        <v>115</v>
      </c>
      <c r="B468" s="53" t="s">
        <v>119</v>
      </c>
      <c r="C468" s="53" t="s">
        <v>126</v>
      </c>
      <c r="D468" s="54">
        <v>267.86499999998682</v>
      </c>
    </row>
    <row r="469" spans="1:4" x14ac:dyDescent="0.25">
      <c r="A469" s="53" t="s">
        <v>115</v>
      </c>
      <c r="B469" s="53" t="s">
        <v>119</v>
      </c>
      <c r="C469" s="53" t="s">
        <v>131</v>
      </c>
      <c r="D469" s="54">
        <v>0.44700000000000017</v>
      </c>
    </row>
    <row r="470" spans="1:4" x14ac:dyDescent="0.25">
      <c r="A470" s="53" t="s">
        <v>115</v>
      </c>
      <c r="B470" s="53" t="s">
        <v>119</v>
      </c>
      <c r="C470" s="53" t="s">
        <v>165</v>
      </c>
      <c r="D470" s="54">
        <v>7.5000000000000053E-2</v>
      </c>
    </row>
    <row r="471" spans="1:4" x14ac:dyDescent="0.25">
      <c r="A471" s="53" t="s">
        <v>115</v>
      </c>
      <c r="B471" s="53" t="s">
        <v>119</v>
      </c>
      <c r="C471" s="53" t="s">
        <v>168</v>
      </c>
      <c r="D471" s="54">
        <v>0.14099999999999999</v>
      </c>
    </row>
    <row r="472" spans="1:4" x14ac:dyDescent="0.25">
      <c r="A472" s="53" t="s">
        <v>115</v>
      </c>
      <c r="B472" s="53" t="s">
        <v>133</v>
      </c>
      <c r="C472" s="53" t="s">
        <v>119</v>
      </c>
      <c r="D472" s="54">
        <v>0.16400000000000001</v>
      </c>
    </row>
    <row r="473" spans="1:4" x14ac:dyDescent="0.25">
      <c r="A473" s="53" t="s">
        <v>115</v>
      </c>
      <c r="B473" s="53" t="s">
        <v>133</v>
      </c>
      <c r="C473" s="53" t="s">
        <v>140</v>
      </c>
      <c r="D473" s="54">
        <v>3.0000000000000001E-3</v>
      </c>
    </row>
    <row r="474" spans="1:4" x14ac:dyDescent="0.25">
      <c r="A474" s="53" t="s">
        <v>115</v>
      </c>
      <c r="B474" s="53" t="s">
        <v>133</v>
      </c>
      <c r="C474" s="53" t="s">
        <v>124</v>
      </c>
      <c r="D474" s="54">
        <v>6.0000000000000012E-2</v>
      </c>
    </row>
    <row r="475" spans="1:4" x14ac:dyDescent="0.25">
      <c r="A475" s="53" t="s">
        <v>115</v>
      </c>
      <c r="B475" s="53" t="s">
        <v>133</v>
      </c>
      <c r="C475" s="53" t="s">
        <v>131</v>
      </c>
      <c r="D475" s="54">
        <v>1E-3</v>
      </c>
    </row>
    <row r="476" spans="1:4" x14ac:dyDescent="0.25">
      <c r="A476" s="53" t="s">
        <v>115</v>
      </c>
      <c r="B476" s="53" t="s">
        <v>149</v>
      </c>
      <c r="C476" s="53" t="s">
        <v>120</v>
      </c>
      <c r="D476" s="54">
        <v>54.778999999997289</v>
      </c>
    </row>
    <row r="477" spans="1:4" x14ac:dyDescent="0.25">
      <c r="A477" s="53" t="s">
        <v>115</v>
      </c>
      <c r="B477" s="53" t="s">
        <v>149</v>
      </c>
      <c r="C477" s="53" t="s">
        <v>142</v>
      </c>
      <c r="D477" s="54">
        <v>1.10499999999999</v>
      </c>
    </row>
    <row r="478" spans="1:4" x14ac:dyDescent="0.25">
      <c r="A478" s="53" t="s">
        <v>115</v>
      </c>
      <c r="B478" s="53" t="s">
        <v>149</v>
      </c>
      <c r="C478" s="53" t="s">
        <v>145</v>
      </c>
      <c r="D478" s="54">
        <v>1.952999999999925</v>
      </c>
    </row>
    <row r="479" spans="1:4" x14ac:dyDescent="0.25">
      <c r="A479" s="53" t="s">
        <v>115</v>
      </c>
      <c r="B479" s="53" t="s">
        <v>149</v>
      </c>
      <c r="C479" s="53" t="s">
        <v>119</v>
      </c>
      <c r="D479" s="54">
        <v>4.8379999999999983</v>
      </c>
    </row>
    <row r="480" spans="1:4" x14ac:dyDescent="0.25">
      <c r="A480" s="53" t="s">
        <v>115</v>
      </c>
      <c r="B480" s="53" t="s">
        <v>149</v>
      </c>
      <c r="C480" s="53" t="s">
        <v>133</v>
      </c>
      <c r="D480" s="54">
        <v>2.9649999999998169</v>
      </c>
    </row>
    <row r="481" spans="1:4" x14ac:dyDescent="0.25">
      <c r="A481" s="53" t="s">
        <v>115</v>
      </c>
      <c r="B481" s="53" t="s">
        <v>149</v>
      </c>
      <c r="C481" s="53" t="s">
        <v>130</v>
      </c>
      <c r="D481" s="54">
        <v>8.5410000000000874</v>
      </c>
    </row>
    <row r="482" spans="1:4" x14ac:dyDescent="0.25">
      <c r="A482" s="53" t="s">
        <v>115</v>
      </c>
      <c r="B482" s="53" t="s">
        <v>149</v>
      </c>
      <c r="C482" s="53" t="s">
        <v>151</v>
      </c>
      <c r="D482" s="54">
        <v>1.839999999999945</v>
      </c>
    </row>
    <row r="483" spans="1:4" x14ac:dyDescent="0.25">
      <c r="A483" s="53" t="s">
        <v>115</v>
      </c>
      <c r="B483" s="53" t="s">
        <v>149</v>
      </c>
      <c r="C483" s="53" t="s">
        <v>153</v>
      </c>
      <c r="D483" s="54">
        <v>0.84700000000000053</v>
      </c>
    </row>
    <row r="484" spans="1:4" x14ac:dyDescent="0.25">
      <c r="A484" s="53" t="s">
        <v>115</v>
      </c>
      <c r="B484" s="53" t="s">
        <v>149</v>
      </c>
      <c r="C484" s="53" t="s">
        <v>134</v>
      </c>
      <c r="D484" s="54">
        <v>95.845000000000425</v>
      </c>
    </row>
    <row r="485" spans="1:4" x14ac:dyDescent="0.25">
      <c r="A485" s="53" t="s">
        <v>115</v>
      </c>
      <c r="B485" s="53" t="s">
        <v>149</v>
      </c>
      <c r="C485" s="53" t="s">
        <v>136</v>
      </c>
      <c r="D485" s="54">
        <v>15.7869999999999</v>
      </c>
    </row>
    <row r="486" spans="1:4" x14ac:dyDescent="0.25">
      <c r="A486" s="53" t="s">
        <v>115</v>
      </c>
      <c r="B486" s="53" t="s">
        <v>149</v>
      </c>
      <c r="C486" s="53" t="s">
        <v>127</v>
      </c>
      <c r="D486" s="54">
        <v>29.900000000001079</v>
      </c>
    </row>
    <row r="487" spans="1:4" x14ac:dyDescent="0.25">
      <c r="A487" s="53" t="s">
        <v>115</v>
      </c>
      <c r="B487" s="53" t="s">
        <v>149</v>
      </c>
      <c r="C487" s="53" t="s">
        <v>160</v>
      </c>
      <c r="D487" s="54">
        <v>4.9370000000000038</v>
      </c>
    </row>
    <row r="488" spans="1:4" x14ac:dyDescent="0.25">
      <c r="A488" s="53" t="s">
        <v>115</v>
      </c>
      <c r="B488" s="53" t="s">
        <v>149</v>
      </c>
      <c r="C488" s="53" t="s">
        <v>162</v>
      </c>
      <c r="D488" s="54">
        <v>2.028999999999987</v>
      </c>
    </row>
    <row r="489" spans="1:4" x14ac:dyDescent="0.25">
      <c r="A489" s="53" t="s">
        <v>115</v>
      </c>
      <c r="B489" s="53" t="s">
        <v>149</v>
      </c>
      <c r="C489" s="53" t="s">
        <v>161</v>
      </c>
      <c r="D489" s="54">
        <v>0.81300000000000061</v>
      </c>
    </row>
    <row r="490" spans="1:4" x14ac:dyDescent="0.25">
      <c r="A490" s="53" t="s">
        <v>115</v>
      </c>
      <c r="B490" s="53" t="s">
        <v>149</v>
      </c>
      <c r="C490" s="53" t="s">
        <v>141</v>
      </c>
      <c r="D490" s="54">
        <v>0.2880000000000002</v>
      </c>
    </row>
    <row r="491" spans="1:4" x14ac:dyDescent="0.25">
      <c r="A491" s="53" t="s">
        <v>115</v>
      </c>
      <c r="B491" s="53" t="s">
        <v>149</v>
      </c>
      <c r="C491" s="53" t="s">
        <v>164</v>
      </c>
      <c r="D491" s="54">
        <v>6.0000000000000001E-3</v>
      </c>
    </row>
    <row r="492" spans="1:4" x14ac:dyDescent="0.25">
      <c r="A492" s="53" t="s">
        <v>115</v>
      </c>
      <c r="B492" s="53" t="s">
        <v>149</v>
      </c>
      <c r="C492" s="53" t="s">
        <v>158</v>
      </c>
      <c r="D492" s="54">
        <v>32.990000000000308</v>
      </c>
    </row>
    <row r="493" spans="1:4" x14ac:dyDescent="0.25">
      <c r="A493" s="53" t="s">
        <v>115</v>
      </c>
      <c r="B493" s="53" t="s">
        <v>149</v>
      </c>
      <c r="C493" s="53" t="s">
        <v>146</v>
      </c>
      <c r="D493" s="54">
        <v>9.5370000000003934</v>
      </c>
    </row>
    <row r="494" spans="1:4" x14ac:dyDescent="0.25">
      <c r="A494" s="53" t="s">
        <v>115</v>
      </c>
      <c r="B494" s="53" t="s">
        <v>149</v>
      </c>
      <c r="C494" s="53" t="s">
        <v>140</v>
      </c>
      <c r="D494" s="54">
        <v>9.0000000000000024E-2</v>
      </c>
    </row>
    <row r="495" spans="1:4" x14ac:dyDescent="0.25">
      <c r="A495" s="53" t="s">
        <v>115</v>
      </c>
      <c r="B495" s="53" t="s">
        <v>149</v>
      </c>
      <c r="C495" s="53" t="s">
        <v>121</v>
      </c>
      <c r="D495" s="54">
        <v>13.20499999999919</v>
      </c>
    </row>
    <row r="496" spans="1:4" x14ac:dyDescent="0.25">
      <c r="A496" s="53" t="s">
        <v>115</v>
      </c>
      <c r="B496" s="53" t="s">
        <v>149</v>
      </c>
      <c r="C496" s="53" t="s">
        <v>129</v>
      </c>
      <c r="D496" s="54">
        <v>10.241999999999811</v>
      </c>
    </row>
    <row r="497" spans="1:4" x14ac:dyDescent="0.25">
      <c r="A497" s="53" t="s">
        <v>115</v>
      </c>
      <c r="B497" s="53" t="s">
        <v>149</v>
      </c>
      <c r="C497" s="53" t="s">
        <v>156</v>
      </c>
      <c r="D497" s="54">
        <v>1.001000000000001</v>
      </c>
    </row>
    <row r="498" spans="1:4" x14ac:dyDescent="0.25">
      <c r="A498" s="53" t="s">
        <v>115</v>
      </c>
      <c r="B498" s="53" t="s">
        <v>149</v>
      </c>
      <c r="C498" s="53" t="s">
        <v>137</v>
      </c>
      <c r="D498" s="54">
        <v>0.4870000000000001</v>
      </c>
    </row>
    <row r="499" spans="1:4" x14ac:dyDescent="0.25">
      <c r="A499" s="53" t="s">
        <v>115</v>
      </c>
      <c r="B499" s="53" t="s">
        <v>149</v>
      </c>
      <c r="C499" s="53" t="s">
        <v>166</v>
      </c>
      <c r="D499" s="54">
        <v>3.0000000000000001E-3</v>
      </c>
    </row>
    <row r="500" spans="1:4" x14ac:dyDescent="0.25">
      <c r="A500" s="53" t="s">
        <v>115</v>
      </c>
      <c r="B500" s="53" t="s">
        <v>149</v>
      </c>
      <c r="C500" s="53" t="s">
        <v>135</v>
      </c>
      <c r="D500" s="54">
        <v>1.7769999999999671</v>
      </c>
    </row>
    <row r="501" spans="1:4" x14ac:dyDescent="0.25">
      <c r="A501" s="53" t="s">
        <v>115</v>
      </c>
      <c r="B501" s="53" t="s">
        <v>149</v>
      </c>
      <c r="C501" s="53" t="s">
        <v>124</v>
      </c>
      <c r="D501" s="54">
        <v>4.6109999999999944</v>
      </c>
    </row>
    <row r="502" spans="1:4" x14ac:dyDescent="0.25">
      <c r="A502" s="53" t="s">
        <v>115</v>
      </c>
      <c r="B502" s="53" t="s">
        <v>149</v>
      </c>
      <c r="C502" s="53" t="s">
        <v>167</v>
      </c>
      <c r="D502" s="54">
        <v>4.1000000000000002E-2</v>
      </c>
    </row>
    <row r="503" spans="1:4" x14ac:dyDescent="0.25">
      <c r="A503" s="53" t="s">
        <v>115</v>
      </c>
      <c r="B503" s="53" t="s">
        <v>149</v>
      </c>
      <c r="C503" s="53" t="s">
        <v>155</v>
      </c>
      <c r="D503" s="54">
        <v>3.2889999999999242</v>
      </c>
    </row>
    <row r="504" spans="1:4" x14ac:dyDescent="0.25">
      <c r="A504" s="53" t="s">
        <v>115</v>
      </c>
      <c r="B504" s="53" t="s">
        <v>149</v>
      </c>
      <c r="C504" s="53" t="s">
        <v>154</v>
      </c>
      <c r="D504" s="54">
        <v>73.99600000000224</v>
      </c>
    </row>
    <row r="505" spans="1:4" x14ac:dyDescent="0.25">
      <c r="A505" s="53" t="s">
        <v>115</v>
      </c>
      <c r="B505" s="53" t="s">
        <v>149</v>
      </c>
      <c r="C505" s="53" t="s">
        <v>143</v>
      </c>
      <c r="D505" s="54">
        <v>54.559999999998404</v>
      </c>
    </row>
    <row r="506" spans="1:4" x14ac:dyDescent="0.25">
      <c r="A506" s="53" t="s">
        <v>115</v>
      </c>
      <c r="B506" s="53" t="s">
        <v>149</v>
      </c>
      <c r="C506" s="53" t="s">
        <v>157</v>
      </c>
      <c r="D506" s="54">
        <v>2E-3</v>
      </c>
    </row>
    <row r="507" spans="1:4" x14ac:dyDescent="0.25">
      <c r="A507" s="53" t="s">
        <v>115</v>
      </c>
      <c r="B507" s="53" t="s">
        <v>149</v>
      </c>
      <c r="C507" s="53" t="s">
        <v>125</v>
      </c>
      <c r="D507" s="54">
        <v>17.204999999999981</v>
      </c>
    </row>
    <row r="508" spans="1:4" x14ac:dyDescent="0.25">
      <c r="A508" s="53" t="s">
        <v>115</v>
      </c>
      <c r="B508" s="53" t="s">
        <v>149</v>
      </c>
      <c r="C508" s="53" t="s">
        <v>122</v>
      </c>
      <c r="D508" s="54">
        <v>11.22299999999974</v>
      </c>
    </row>
    <row r="509" spans="1:4" x14ac:dyDescent="0.25">
      <c r="A509" s="53" t="s">
        <v>115</v>
      </c>
      <c r="B509" s="53" t="s">
        <v>149</v>
      </c>
      <c r="C509" s="53" t="s">
        <v>152</v>
      </c>
      <c r="D509" s="54">
        <v>5.4180000000003492</v>
      </c>
    </row>
    <row r="510" spans="1:4" x14ac:dyDescent="0.25">
      <c r="A510" s="53" t="s">
        <v>115</v>
      </c>
      <c r="B510" s="53" t="s">
        <v>149</v>
      </c>
      <c r="C510" s="53" t="s">
        <v>126</v>
      </c>
      <c r="D510" s="54">
        <v>147.17000000001741</v>
      </c>
    </row>
    <row r="511" spans="1:4" x14ac:dyDescent="0.25">
      <c r="A511" s="53" t="s">
        <v>115</v>
      </c>
      <c r="B511" s="53" t="s">
        <v>149</v>
      </c>
      <c r="C511" s="53" t="s">
        <v>131</v>
      </c>
      <c r="D511" s="54">
        <v>1E-3</v>
      </c>
    </row>
    <row r="512" spans="1:4" x14ac:dyDescent="0.25">
      <c r="A512" s="53" t="s">
        <v>115</v>
      </c>
      <c r="B512" s="53" t="s">
        <v>149</v>
      </c>
      <c r="C512" s="53" t="s">
        <v>165</v>
      </c>
      <c r="D512" s="54">
        <v>2.331</v>
      </c>
    </row>
    <row r="513" spans="1:4" x14ac:dyDescent="0.25">
      <c r="A513" s="53" t="s">
        <v>115</v>
      </c>
      <c r="B513" s="53" t="s">
        <v>130</v>
      </c>
      <c r="C513" s="53" t="s">
        <v>119</v>
      </c>
      <c r="D513" s="54">
        <v>0.127</v>
      </c>
    </row>
    <row r="514" spans="1:4" x14ac:dyDescent="0.25">
      <c r="A514" s="53" t="s">
        <v>115</v>
      </c>
      <c r="B514" s="53" t="s">
        <v>130</v>
      </c>
      <c r="C514" s="53" t="s">
        <v>127</v>
      </c>
      <c r="D514" s="54">
        <v>1.2999999999999999E-2</v>
      </c>
    </row>
    <row r="515" spans="1:4" x14ac:dyDescent="0.25">
      <c r="A515" s="53" t="s">
        <v>115</v>
      </c>
      <c r="B515" s="53" t="s">
        <v>130</v>
      </c>
      <c r="C515" s="53" t="s">
        <v>140</v>
      </c>
      <c r="D515" s="54">
        <v>2.1999999999999999E-2</v>
      </c>
    </row>
    <row r="516" spans="1:4" x14ac:dyDescent="0.25">
      <c r="A516" s="53" t="s">
        <v>115</v>
      </c>
      <c r="B516" s="53" t="s">
        <v>130</v>
      </c>
      <c r="C516" s="53" t="s">
        <v>124</v>
      </c>
      <c r="D516" s="54">
        <v>1.6129999999999991</v>
      </c>
    </row>
    <row r="517" spans="1:4" x14ac:dyDescent="0.25">
      <c r="A517" s="53" t="s">
        <v>115</v>
      </c>
      <c r="B517" s="53" t="s">
        <v>130</v>
      </c>
      <c r="C517" s="53" t="s">
        <v>131</v>
      </c>
      <c r="D517" s="54">
        <v>1.9E-2</v>
      </c>
    </row>
    <row r="518" spans="1:4" x14ac:dyDescent="0.25">
      <c r="A518" s="53" t="s">
        <v>115</v>
      </c>
      <c r="B518" s="53" t="s">
        <v>153</v>
      </c>
      <c r="C518" s="53" t="s">
        <v>120</v>
      </c>
      <c r="D518" s="54">
        <v>0.03</v>
      </c>
    </row>
    <row r="519" spans="1:4" x14ac:dyDescent="0.25">
      <c r="A519" s="53" t="s">
        <v>115</v>
      </c>
      <c r="B519" s="53" t="s">
        <v>153</v>
      </c>
      <c r="C519" s="53" t="s">
        <v>119</v>
      </c>
      <c r="D519" s="54">
        <v>0.27300000000000008</v>
      </c>
    </row>
    <row r="520" spans="1:4" x14ac:dyDescent="0.25">
      <c r="A520" s="53" t="s">
        <v>115</v>
      </c>
      <c r="B520" s="53" t="s">
        <v>153</v>
      </c>
      <c r="C520" s="53" t="s">
        <v>136</v>
      </c>
      <c r="D520" s="54">
        <v>3.472999999999999</v>
      </c>
    </row>
    <row r="521" spans="1:4" x14ac:dyDescent="0.25">
      <c r="A521" s="53" t="s">
        <v>115</v>
      </c>
      <c r="B521" s="53" t="s">
        <v>153</v>
      </c>
      <c r="C521" s="53" t="s">
        <v>127</v>
      </c>
      <c r="D521" s="54">
        <v>6.2570000000000006</v>
      </c>
    </row>
    <row r="522" spans="1:4" x14ac:dyDescent="0.25">
      <c r="A522" s="53" t="s">
        <v>115</v>
      </c>
      <c r="B522" s="53" t="s">
        <v>153</v>
      </c>
      <c r="C522" s="53" t="s">
        <v>137</v>
      </c>
      <c r="D522" s="54">
        <v>7.9000000000000015E-2</v>
      </c>
    </row>
    <row r="523" spans="1:4" x14ac:dyDescent="0.25">
      <c r="A523" s="53" t="s">
        <v>115</v>
      </c>
      <c r="B523" s="53" t="s">
        <v>153</v>
      </c>
      <c r="C523" s="53" t="s">
        <v>124</v>
      </c>
      <c r="D523" s="54">
        <v>0.57100000000000006</v>
      </c>
    </row>
    <row r="524" spans="1:4" x14ac:dyDescent="0.25">
      <c r="A524" s="53" t="s">
        <v>115</v>
      </c>
      <c r="B524" s="53" t="s">
        <v>153</v>
      </c>
      <c r="C524" s="53" t="s">
        <v>125</v>
      </c>
      <c r="D524" s="54">
        <v>1.589</v>
      </c>
    </row>
    <row r="525" spans="1:4" x14ac:dyDescent="0.25">
      <c r="A525" s="53" t="s">
        <v>115</v>
      </c>
      <c r="B525" s="53" t="s">
        <v>153</v>
      </c>
      <c r="C525" s="53" t="s">
        <v>122</v>
      </c>
      <c r="D525" s="54">
        <v>1.4390000000000001</v>
      </c>
    </row>
    <row r="526" spans="1:4" x14ac:dyDescent="0.25">
      <c r="A526" s="53" t="s">
        <v>115</v>
      </c>
      <c r="B526" s="53" t="s">
        <v>153</v>
      </c>
      <c r="C526" s="53" t="s">
        <v>126</v>
      </c>
      <c r="D526" s="54">
        <v>7.2000000000000008E-2</v>
      </c>
    </row>
    <row r="527" spans="1:4" x14ac:dyDescent="0.25">
      <c r="A527" s="53" t="s">
        <v>115</v>
      </c>
      <c r="B527" s="53" t="s">
        <v>153</v>
      </c>
      <c r="C527" s="53" t="s">
        <v>131</v>
      </c>
      <c r="D527" s="54">
        <v>6.0000000000000001E-3</v>
      </c>
    </row>
    <row r="528" spans="1:4" x14ac:dyDescent="0.25">
      <c r="A528" s="53" t="s">
        <v>115</v>
      </c>
      <c r="B528" s="53" t="s">
        <v>134</v>
      </c>
      <c r="C528" s="53" t="s">
        <v>119</v>
      </c>
      <c r="D528" s="54">
        <v>3.145999999999999</v>
      </c>
    </row>
    <row r="529" spans="1:4" x14ac:dyDescent="0.25">
      <c r="A529" s="53" t="s">
        <v>115</v>
      </c>
      <c r="B529" s="53" t="s">
        <v>134</v>
      </c>
      <c r="C529" s="53" t="s">
        <v>136</v>
      </c>
      <c r="D529" s="54">
        <v>0.126</v>
      </c>
    </row>
    <row r="530" spans="1:4" x14ac:dyDescent="0.25">
      <c r="A530" s="53" t="s">
        <v>115</v>
      </c>
      <c r="B530" s="53" t="s">
        <v>134</v>
      </c>
      <c r="C530" s="53" t="s">
        <v>140</v>
      </c>
      <c r="D530" s="54">
        <v>0.64200000000000002</v>
      </c>
    </row>
    <row r="531" spans="1:4" x14ac:dyDescent="0.25">
      <c r="A531" s="53" t="s">
        <v>115</v>
      </c>
      <c r="B531" s="53" t="s">
        <v>134</v>
      </c>
      <c r="C531" s="53" t="s">
        <v>124</v>
      </c>
      <c r="D531" s="54">
        <v>6.3660000000000014</v>
      </c>
    </row>
    <row r="532" spans="1:4" x14ac:dyDescent="0.25">
      <c r="A532" s="53" t="s">
        <v>115</v>
      </c>
      <c r="B532" s="53" t="s">
        <v>134</v>
      </c>
      <c r="C532" s="53" t="s">
        <v>131</v>
      </c>
      <c r="D532" s="54">
        <v>1.2419999999999991</v>
      </c>
    </row>
    <row r="533" spans="1:4" x14ac:dyDescent="0.25">
      <c r="A533" s="53" t="s">
        <v>115</v>
      </c>
      <c r="B533" s="53" t="s">
        <v>127</v>
      </c>
      <c r="C533" s="53" t="s">
        <v>140</v>
      </c>
      <c r="D533" s="54">
        <v>0.02</v>
      </c>
    </row>
    <row r="534" spans="1:4" x14ac:dyDescent="0.25">
      <c r="A534" s="53" t="s">
        <v>115</v>
      </c>
      <c r="B534" s="53" t="s">
        <v>160</v>
      </c>
      <c r="C534" s="53" t="s">
        <v>119</v>
      </c>
      <c r="D534" s="54">
        <v>1E-3</v>
      </c>
    </row>
    <row r="535" spans="1:4" x14ac:dyDescent="0.25">
      <c r="A535" s="53" t="s">
        <v>115</v>
      </c>
      <c r="B535" s="53" t="s">
        <v>144</v>
      </c>
      <c r="C535" s="53" t="s">
        <v>119</v>
      </c>
      <c r="D535" s="54">
        <v>70.926999999999964</v>
      </c>
    </row>
    <row r="536" spans="1:4" x14ac:dyDescent="0.25">
      <c r="A536" s="53" t="s">
        <v>115</v>
      </c>
      <c r="B536" s="53" t="s">
        <v>144</v>
      </c>
      <c r="C536" s="53" t="s">
        <v>153</v>
      </c>
      <c r="D536" s="54">
        <v>0.27600000000000002</v>
      </c>
    </row>
    <row r="537" spans="1:4" x14ac:dyDescent="0.25">
      <c r="A537" s="53" t="s">
        <v>115</v>
      </c>
      <c r="B537" s="53" t="s">
        <v>144</v>
      </c>
      <c r="C537" s="53" t="s">
        <v>136</v>
      </c>
      <c r="D537" s="54">
        <v>20.675000000000001</v>
      </c>
    </row>
    <row r="538" spans="1:4" x14ac:dyDescent="0.25">
      <c r="A538" s="53" t="s">
        <v>115</v>
      </c>
      <c r="B538" s="53" t="s">
        <v>144</v>
      </c>
      <c r="C538" s="53" t="s">
        <v>127</v>
      </c>
      <c r="D538" s="54">
        <v>32.082000000000001</v>
      </c>
    </row>
    <row r="539" spans="1:4" x14ac:dyDescent="0.25">
      <c r="A539" s="53" t="s">
        <v>115</v>
      </c>
      <c r="B539" s="53" t="s">
        <v>144</v>
      </c>
      <c r="C539" s="53" t="s">
        <v>164</v>
      </c>
      <c r="D539" s="54">
        <v>0.49800000000000022</v>
      </c>
    </row>
    <row r="540" spans="1:4" x14ac:dyDescent="0.25">
      <c r="A540" s="53" t="s">
        <v>115</v>
      </c>
      <c r="B540" s="53" t="s">
        <v>144</v>
      </c>
      <c r="C540" s="53" t="s">
        <v>140</v>
      </c>
      <c r="D540" s="54">
        <v>21.835000000000012</v>
      </c>
    </row>
    <row r="541" spans="1:4" x14ac:dyDescent="0.25">
      <c r="A541" s="53" t="s">
        <v>115</v>
      </c>
      <c r="B541" s="53" t="s">
        <v>144</v>
      </c>
      <c r="C541" s="53" t="s">
        <v>121</v>
      </c>
      <c r="D541" s="54">
        <v>0.21200000000000011</v>
      </c>
    </row>
    <row r="542" spans="1:4" x14ac:dyDescent="0.25">
      <c r="A542" s="53" t="s">
        <v>115</v>
      </c>
      <c r="B542" s="53" t="s">
        <v>144</v>
      </c>
      <c r="C542" s="53" t="s">
        <v>156</v>
      </c>
      <c r="D542" s="54">
        <v>0.83000000000000029</v>
      </c>
    </row>
    <row r="543" spans="1:4" x14ac:dyDescent="0.25">
      <c r="A543" s="53" t="s">
        <v>115</v>
      </c>
      <c r="B543" s="53" t="s">
        <v>144</v>
      </c>
      <c r="C543" s="53" t="s">
        <v>135</v>
      </c>
      <c r="D543" s="54">
        <v>1.08</v>
      </c>
    </row>
    <row r="544" spans="1:4" x14ac:dyDescent="0.25">
      <c r="A544" s="53" t="s">
        <v>115</v>
      </c>
      <c r="B544" s="53" t="s">
        <v>144</v>
      </c>
      <c r="C544" s="53" t="s">
        <v>124</v>
      </c>
      <c r="D544" s="54">
        <v>151.47399999999999</v>
      </c>
    </row>
    <row r="545" spans="1:4" x14ac:dyDescent="0.25">
      <c r="A545" s="53" t="s">
        <v>115</v>
      </c>
      <c r="B545" s="53" t="s">
        <v>144</v>
      </c>
      <c r="C545" s="53" t="s">
        <v>155</v>
      </c>
      <c r="D545" s="54">
        <v>5.2000000000000018E-2</v>
      </c>
    </row>
    <row r="546" spans="1:4" x14ac:dyDescent="0.25">
      <c r="A546" s="53" t="s">
        <v>115</v>
      </c>
      <c r="B546" s="53" t="s">
        <v>144</v>
      </c>
      <c r="C546" s="53" t="s">
        <v>122</v>
      </c>
      <c r="D546" s="54">
        <v>8.6409999999999982</v>
      </c>
    </row>
    <row r="547" spans="1:4" x14ac:dyDescent="0.25">
      <c r="A547" s="53" t="s">
        <v>115</v>
      </c>
      <c r="B547" s="53" t="s">
        <v>144</v>
      </c>
      <c r="C547" s="53" t="s">
        <v>131</v>
      </c>
      <c r="D547" s="54">
        <v>30.530999999999981</v>
      </c>
    </row>
    <row r="548" spans="1:4" x14ac:dyDescent="0.25">
      <c r="A548" s="53" t="s">
        <v>115</v>
      </c>
      <c r="B548" s="53" t="s">
        <v>161</v>
      </c>
      <c r="C548" s="53" t="s">
        <v>119</v>
      </c>
      <c r="D548" s="54">
        <v>7.0000000000000001E-3</v>
      </c>
    </row>
    <row r="549" spans="1:4" x14ac:dyDescent="0.25">
      <c r="A549" s="53" t="s">
        <v>115</v>
      </c>
      <c r="B549" s="53" t="s">
        <v>161</v>
      </c>
      <c r="C549" s="53" t="s">
        <v>124</v>
      </c>
      <c r="D549" s="54">
        <v>1E-3</v>
      </c>
    </row>
    <row r="550" spans="1:4" x14ac:dyDescent="0.25">
      <c r="A550" s="53" t="s">
        <v>115</v>
      </c>
      <c r="B550" s="53" t="s">
        <v>163</v>
      </c>
      <c r="C550" s="53" t="s">
        <v>120</v>
      </c>
      <c r="D550" s="54">
        <v>2.6929999999998868</v>
      </c>
    </row>
    <row r="551" spans="1:4" x14ac:dyDescent="0.25">
      <c r="A551" s="53" t="s">
        <v>115</v>
      </c>
      <c r="B551" s="53" t="s">
        <v>163</v>
      </c>
      <c r="C551" s="53" t="s">
        <v>142</v>
      </c>
      <c r="D551" s="54">
        <v>2E-3</v>
      </c>
    </row>
    <row r="552" spans="1:4" x14ac:dyDescent="0.25">
      <c r="A552" s="53" t="s">
        <v>115</v>
      </c>
      <c r="B552" s="53" t="s">
        <v>163</v>
      </c>
      <c r="C552" s="53" t="s">
        <v>119</v>
      </c>
      <c r="D552" s="54">
        <v>5.5470000000000077</v>
      </c>
    </row>
    <row r="553" spans="1:4" x14ac:dyDescent="0.25">
      <c r="A553" s="53" t="s">
        <v>115</v>
      </c>
      <c r="B553" s="53" t="s">
        <v>163</v>
      </c>
      <c r="C553" s="53" t="s">
        <v>133</v>
      </c>
      <c r="D553" s="54">
        <v>0.26400000000000018</v>
      </c>
    </row>
    <row r="554" spans="1:4" x14ac:dyDescent="0.25">
      <c r="A554" s="53" t="s">
        <v>115</v>
      </c>
      <c r="B554" s="53" t="s">
        <v>163</v>
      </c>
      <c r="C554" s="53" t="s">
        <v>130</v>
      </c>
      <c r="D554" s="54">
        <v>1.230999999999985</v>
      </c>
    </row>
    <row r="555" spans="1:4" x14ac:dyDescent="0.25">
      <c r="A555" s="53" t="s">
        <v>115</v>
      </c>
      <c r="B555" s="53" t="s">
        <v>163</v>
      </c>
      <c r="C555" s="53" t="s">
        <v>151</v>
      </c>
      <c r="D555" s="54">
        <v>2E-3</v>
      </c>
    </row>
    <row r="556" spans="1:4" x14ac:dyDescent="0.25">
      <c r="A556" s="53" t="s">
        <v>115</v>
      </c>
      <c r="B556" s="53" t="s">
        <v>163</v>
      </c>
      <c r="C556" s="53" t="s">
        <v>153</v>
      </c>
      <c r="D556" s="54">
        <v>2E-3</v>
      </c>
    </row>
    <row r="557" spans="1:4" x14ac:dyDescent="0.25">
      <c r="A557" s="53" t="s">
        <v>115</v>
      </c>
      <c r="B557" s="53" t="s">
        <v>163</v>
      </c>
      <c r="C557" s="53" t="s">
        <v>134</v>
      </c>
      <c r="D557" s="54">
        <v>15.202999999999991</v>
      </c>
    </row>
    <row r="558" spans="1:4" x14ac:dyDescent="0.25">
      <c r="A558" s="53" t="s">
        <v>115</v>
      </c>
      <c r="B558" s="53" t="s">
        <v>163</v>
      </c>
      <c r="C558" s="53" t="s">
        <v>136</v>
      </c>
      <c r="D558" s="54">
        <v>2.8529999999999438</v>
      </c>
    </row>
    <row r="559" spans="1:4" x14ac:dyDescent="0.25">
      <c r="A559" s="53" t="s">
        <v>115</v>
      </c>
      <c r="B559" s="53" t="s">
        <v>163</v>
      </c>
      <c r="C559" s="53" t="s">
        <v>127</v>
      </c>
      <c r="D559" s="54">
        <v>6.5000000000001403</v>
      </c>
    </row>
    <row r="560" spans="1:4" x14ac:dyDescent="0.25">
      <c r="A560" s="53" t="s">
        <v>115</v>
      </c>
      <c r="B560" s="53" t="s">
        <v>163</v>
      </c>
      <c r="C560" s="53" t="s">
        <v>162</v>
      </c>
      <c r="D560" s="54">
        <v>1E-3</v>
      </c>
    </row>
    <row r="561" spans="1:4" x14ac:dyDescent="0.25">
      <c r="A561" s="53" t="s">
        <v>115</v>
      </c>
      <c r="B561" s="53" t="s">
        <v>163</v>
      </c>
      <c r="C561" s="53" t="s">
        <v>161</v>
      </c>
      <c r="D561" s="54">
        <v>0.60000000000000009</v>
      </c>
    </row>
    <row r="562" spans="1:4" x14ac:dyDescent="0.25">
      <c r="A562" s="53" t="s">
        <v>115</v>
      </c>
      <c r="B562" s="53" t="s">
        <v>163</v>
      </c>
      <c r="C562" s="53" t="s">
        <v>158</v>
      </c>
      <c r="D562" s="54">
        <v>0.1790000000000001</v>
      </c>
    </row>
    <row r="563" spans="1:4" x14ac:dyDescent="0.25">
      <c r="A563" s="53" t="s">
        <v>115</v>
      </c>
      <c r="B563" s="53" t="s">
        <v>163</v>
      </c>
      <c r="C563" s="53" t="s">
        <v>146</v>
      </c>
      <c r="D563" s="54">
        <v>0.21</v>
      </c>
    </row>
    <row r="564" spans="1:4" x14ac:dyDescent="0.25">
      <c r="A564" s="53" t="s">
        <v>115</v>
      </c>
      <c r="B564" s="53" t="s">
        <v>163</v>
      </c>
      <c r="C564" s="53" t="s">
        <v>140</v>
      </c>
      <c r="D564" s="54">
        <v>0.1730000000000001</v>
      </c>
    </row>
    <row r="565" spans="1:4" x14ac:dyDescent="0.25">
      <c r="A565" s="53" t="s">
        <v>115</v>
      </c>
      <c r="B565" s="53" t="s">
        <v>163</v>
      </c>
      <c r="C565" s="53" t="s">
        <v>121</v>
      </c>
      <c r="D565" s="54">
        <v>5.6570000000000249</v>
      </c>
    </row>
    <row r="566" spans="1:4" x14ac:dyDescent="0.25">
      <c r="A566" s="53" t="s">
        <v>115</v>
      </c>
      <c r="B566" s="53" t="s">
        <v>163</v>
      </c>
      <c r="C566" s="53" t="s">
        <v>129</v>
      </c>
      <c r="D566" s="54">
        <v>1.8000000000000009E-2</v>
      </c>
    </row>
    <row r="567" spans="1:4" x14ac:dyDescent="0.25">
      <c r="A567" s="53" t="s">
        <v>115</v>
      </c>
      <c r="B567" s="53" t="s">
        <v>163</v>
      </c>
      <c r="C567" s="53" t="s">
        <v>156</v>
      </c>
      <c r="D567" s="54">
        <v>1.046999999999999</v>
      </c>
    </row>
    <row r="568" spans="1:4" x14ac:dyDescent="0.25">
      <c r="A568" s="53" t="s">
        <v>115</v>
      </c>
      <c r="B568" s="53" t="s">
        <v>163</v>
      </c>
      <c r="C568" s="53" t="s">
        <v>135</v>
      </c>
      <c r="D568" s="54">
        <v>0.46800000000000042</v>
      </c>
    </row>
    <row r="569" spans="1:4" x14ac:dyDescent="0.25">
      <c r="A569" s="53" t="s">
        <v>115</v>
      </c>
      <c r="B569" s="53" t="s">
        <v>163</v>
      </c>
      <c r="C569" s="53" t="s">
        <v>124</v>
      </c>
      <c r="D569" s="54">
        <v>4.6239999999999846</v>
      </c>
    </row>
    <row r="570" spans="1:4" x14ac:dyDescent="0.25">
      <c r="A570" s="53" t="s">
        <v>115</v>
      </c>
      <c r="B570" s="53" t="s">
        <v>163</v>
      </c>
      <c r="C570" s="53" t="s">
        <v>155</v>
      </c>
      <c r="D570" s="54">
        <v>6.0000000000000001E-3</v>
      </c>
    </row>
    <row r="571" spans="1:4" x14ac:dyDescent="0.25">
      <c r="A571" s="53" t="s">
        <v>115</v>
      </c>
      <c r="B571" s="53" t="s">
        <v>163</v>
      </c>
      <c r="C571" s="53" t="s">
        <v>154</v>
      </c>
      <c r="D571" s="54">
        <v>3.8570000000000002</v>
      </c>
    </row>
    <row r="572" spans="1:4" x14ac:dyDescent="0.25">
      <c r="A572" s="53" t="s">
        <v>115</v>
      </c>
      <c r="B572" s="53" t="s">
        <v>163</v>
      </c>
      <c r="C572" s="53" t="s">
        <v>143</v>
      </c>
      <c r="D572" s="54">
        <v>1.720999999999997</v>
      </c>
    </row>
    <row r="573" spans="1:4" x14ac:dyDescent="0.25">
      <c r="A573" s="53" t="s">
        <v>115</v>
      </c>
      <c r="B573" s="53" t="s">
        <v>163</v>
      </c>
      <c r="C573" s="53" t="s">
        <v>122</v>
      </c>
      <c r="D573" s="54">
        <v>2.429999999999882</v>
      </c>
    </row>
    <row r="574" spans="1:4" x14ac:dyDescent="0.25">
      <c r="A574" s="53" t="s">
        <v>115</v>
      </c>
      <c r="B574" s="53" t="s">
        <v>163</v>
      </c>
      <c r="C574" s="53" t="s">
        <v>152</v>
      </c>
      <c r="D574" s="54">
        <v>5.1000000000000038E-2</v>
      </c>
    </row>
    <row r="575" spans="1:4" x14ac:dyDescent="0.25">
      <c r="A575" s="53" t="s">
        <v>115</v>
      </c>
      <c r="B575" s="53" t="s">
        <v>163</v>
      </c>
      <c r="C575" s="53" t="s">
        <v>126</v>
      </c>
      <c r="D575" s="54">
        <v>0.25600000000000023</v>
      </c>
    </row>
    <row r="576" spans="1:4" x14ac:dyDescent="0.25">
      <c r="A576" s="53" t="s">
        <v>115</v>
      </c>
      <c r="B576" s="53" t="s">
        <v>163</v>
      </c>
      <c r="C576" s="53" t="s">
        <v>131</v>
      </c>
      <c r="D576" s="54">
        <v>0.16900000000000009</v>
      </c>
    </row>
    <row r="577" spans="1:4" x14ac:dyDescent="0.25">
      <c r="A577" s="53" t="s">
        <v>115</v>
      </c>
      <c r="B577" s="53" t="s">
        <v>141</v>
      </c>
      <c r="C577" s="53" t="s">
        <v>120</v>
      </c>
      <c r="D577" s="54">
        <v>2.8139999999999992</v>
      </c>
    </row>
    <row r="578" spans="1:4" x14ac:dyDescent="0.25">
      <c r="A578" s="53" t="s">
        <v>115</v>
      </c>
      <c r="B578" s="53" t="s">
        <v>141</v>
      </c>
      <c r="C578" s="53" t="s">
        <v>119</v>
      </c>
      <c r="D578" s="54">
        <v>121.5870000000001</v>
      </c>
    </row>
    <row r="579" spans="1:4" x14ac:dyDescent="0.25">
      <c r="A579" s="53" t="s">
        <v>115</v>
      </c>
      <c r="B579" s="53" t="s">
        <v>141</v>
      </c>
      <c r="C579" s="53" t="s">
        <v>133</v>
      </c>
      <c r="D579" s="54">
        <v>0.26300000000000001</v>
      </c>
    </row>
    <row r="580" spans="1:4" x14ac:dyDescent="0.25">
      <c r="A580" s="53" t="s">
        <v>115</v>
      </c>
      <c r="B580" s="53" t="s">
        <v>141</v>
      </c>
      <c r="C580" s="53" t="s">
        <v>130</v>
      </c>
      <c r="D580" s="54">
        <v>14.695</v>
      </c>
    </row>
    <row r="581" spans="1:4" x14ac:dyDescent="0.25">
      <c r="A581" s="53" t="s">
        <v>115</v>
      </c>
      <c r="B581" s="53" t="s">
        <v>141</v>
      </c>
      <c r="C581" s="53" t="s">
        <v>151</v>
      </c>
      <c r="D581" s="54">
        <v>1E-3</v>
      </c>
    </row>
    <row r="582" spans="1:4" x14ac:dyDescent="0.25">
      <c r="A582" s="53" t="s">
        <v>115</v>
      </c>
      <c r="B582" s="53" t="s">
        <v>141</v>
      </c>
      <c r="C582" s="53" t="s">
        <v>153</v>
      </c>
      <c r="D582" s="54">
        <v>2E-3</v>
      </c>
    </row>
    <row r="583" spans="1:4" x14ac:dyDescent="0.25">
      <c r="A583" s="53" t="s">
        <v>115</v>
      </c>
      <c r="B583" s="53" t="s">
        <v>141</v>
      </c>
      <c r="C583" s="53" t="s">
        <v>136</v>
      </c>
      <c r="D583" s="54">
        <v>67.890000000000057</v>
      </c>
    </row>
    <row r="584" spans="1:4" x14ac:dyDescent="0.25">
      <c r="A584" s="53" t="s">
        <v>115</v>
      </c>
      <c r="B584" s="53" t="s">
        <v>141</v>
      </c>
      <c r="C584" s="53" t="s">
        <v>127</v>
      </c>
      <c r="D584" s="54">
        <v>150.89300000000031</v>
      </c>
    </row>
    <row r="585" spans="1:4" x14ac:dyDescent="0.25">
      <c r="A585" s="53" t="s">
        <v>115</v>
      </c>
      <c r="B585" s="53" t="s">
        <v>141</v>
      </c>
      <c r="C585" s="53" t="s">
        <v>164</v>
      </c>
      <c r="D585" s="54">
        <v>4.8199999999999976</v>
      </c>
    </row>
    <row r="586" spans="1:4" x14ac:dyDescent="0.25">
      <c r="A586" s="53" t="s">
        <v>115</v>
      </c>
      <c r="B586" s="53" t="s">
        <v>141</v>
      </c>
      <c r="C586" s="53" t="s">
        <v>158</v>
      </c>
      <c r="D586" s="54">
        <v>5.0000000000000001E-3</v>
      </c>
    </row>
    <row r="587" spans="1:4" x14ac:dyDescent="0.25">
      <c r="A587" s="53" t="s">
        <v>115</v>
      </c>
      <c r="B587" s="53" t="s">
        <v>141</v>
      </c>
      <c r="C587" s="53" t="s">
        <v>146</v>
      </c>
      <c r="D587" s="54">
        <v>2E-3</v>
      </c>
    </row>
    <row r="588" spans="1:4" x14ac:dyDescent="0.25">
      <c r="A588" s="53" t="s">
        <v>115</v>
      </c>
      <c r="B588" s="53" t="s">
        <v>141</v>
      </c>
      <c r="C588" s="53" t="s">
        <v>140</v>
      </c>
      <c r="D588" s="54">
        <v>19.66599999999999</v>
      </c>
    </row>
    <row r="589" spans="1:4" x14ac:dyDescent="0.25">
      <c r="A589" s="53" t="s">
        <v>115</v>
      </c>
      <c r="B589" s="53" t="s">
        <v>141</v>
      </c>
      <c r="C589" s="53" t="s">
        <v>121</v>
      </c>
      <c r="D589" s="54">
        <v>7.7189999999999719</v>
      </c>
    </row>
    <row r="590" spans="1:4" x14ac:dyDescent="0.25">
      <c r="A590" s="53" t="s">
        <v>115</v>
      </c>
      <c r="B590" s="53" t="s">
        <v>141</v>
      </c>
      <c r="C590" s="53" t="s">
        <v>156</v>
      </c>
      <c r="D590" s="54">
        <v>2.1069999999999851</v>
      </c>
    </row>
    <row r="591" spans="1:4" x14ac:dyDescent="0.25">
      <c r="A591" s="53" t="s">
        <v>115</v>
      </c>
      <c r="B591" s="53" t="s">
        <v>141</v>
      </c>
      <c r="C591" s="53" t="s">
        <v>139</v>
      </c>
      <c r="D591" s="54">
        <v>4.3999999999999997E-2</v>
      </c>
    </row>
    <row r="592" spans="1:4" x14ac:dyDescent="0.25">
      <c r="A592" s="53" t="s">
        <v>115</v>
      </c>
      <c r="B592" s="53" t="s">
        <v>141</v>
      </c>
      <c r="C592" s="53" t="s">
        <v>135</v>
      </c>
      <c r="D592" s="54">
        <v>6.7509999999999986</v>
      </c>
    </row>
    <row r="593" spans="1:4" x14ac:dyDescent="0.25">
      <c r="A593" s="53" t="s">
        <v>115</v>
      </c>
      <c r="B593" s="53" t="s">
        <v>141</v>
      </c>
      <c r="C593" s="53" t="s">
        <v>124</v>
      </c>
      <c r="D593" s="54">
        <v>190.4719999999997</v>
      </c>
    </row>
    <row r="594" spans="1:4" x14ac:dyDescent="0.25">
      <c r="A594" s="53" t="s">
        <v>115</v>
      </c>
      <c r="B594" s="53" t="s">
        <v>141</v>
      </c>
      <c r="C594" s="53" t="s">
        <v>155</v>
      </c>
      <c r="D594" s="54">
        <v>0.05</v>
      </c>
    </row>
    <row r="595" spans="1:4" x14ac:dyDescent="0.25">
      <c r="A595" s="53" t="s">
        <v>115</v>
      </c>
      <c r="B595" s="53" t="s">
        <v>141</v>
      </c>
      <c r="C595" s="53" t="s">
        <v>122</v>
      </c>
      <c r="D595" s="54">
        <v>37.04399999999999</v>
      </c>
    </row>
    <row r="596" spans="1:4" x14ac:dyDescent="0.25">
      <c r="A596" s="53" t="s">
        <v>115</v>
      </c>
      <c r="B596" s="53" t="s">
        <v>141</v>
      </c>
      <c r="C596" s="53" t="s">
        <v>126</v>
      </c>
      <c r="D596" s="54">
        <v>0.55500000000000005</v>
      </c>
    </row>
    <row r="597" spans="1:4" x14ac:dyDescent="0.25">
      <c r="A597" s="53" t="s">
        <v>115</v>
      </c>
      <c r="B597" s="53" t="s">
        <v>141</v>
      </c>
      <c r="C597" s="53" t="s">
        <v>131</v>
      </c>
      <c r="D597" s="54">
        <v>37.733000000000068</v>
      </c>
    </row>
    <row r="598" spans="1:4" x14ac:dyDescent="0.25">
      <c r="A598" s="53" t="s">
        <v>115</v>
      </c>
      <c r="B598" s="53" t="s">
        <v>147</v>
      </c>
      <c r="C598" s="53" t="s">
        <v>120</v>
      </c>
      <c r="D598" s="54">
        <v>234.94399999999999</v>
      </c>
    </row>
    <row r="599" spans="1:4" x14ac:dyDescent="0.25">
      <c r="A599" s="53" t="s">
        <v>115</v>
      </c>
      <c r="B599" s="53" t="s">
        <v>147</v>
      </c>
      <c r="C599" s="53" t="s">
        <v>142</v>
      </c>
      <c r="D599" s="54">
        <v>8.2049999999999912</v>
      </c>
    </row>
    <row r="600" spans="1:4" x14ac:dyDescent="0.25">
      <c r="A600" s="53" t="s">
        <v>115</v>
      </c>
      <c r="B600" s="53" t="s">
        <v>147</v>
      </c>
      <c r="C600" s="53" t="s">
        <v>145</v>
      </c>
      <c r="D600" s="54">
        <v>10.59899999999999</v>
      </c>
    </row>
    <row r="601" spans="1:4" x14ac:dyDescent="0.25">
      <c r="A601" s="53" t="s">
        <v>115</v>
      </c>
      <c r="B601" s="53" t="s">
        <v>147</v>
      </c>
      <c r="C601" s="53" t="s">
        <v>119</v>
      </c>
      <c r="D601" s="54">
        <v>59.878000000000007</v>
      </c>
    </row>
    <row r="602" spans="1:4" x14ac:dyDescent="0.25">
      <c r="A602" s="53" t="s">
        <v>115</v>
      </c>
      <c r="B602" s="53" t="s">
        <v>147</v>
      </c>
      <c r="C602" s="53" t="s">
        <v>133</v>
      </c>
      <c r="D602" s="54">
        <v>908.43699999999546</v>
      </c>
    </row>
    <row r="603" spans="1:4" x14ac:dyDescent="0.25">
      <c r="A603" s="53" t="s">
        <v>115</v>
      </c>
      <c r="B603" s="53" t="s">
        <v>147</v>
      </c>
      <c r="C603" s="53" t="s">
        <v>130</v>
      </c>
      <c r="D603" s="54">
        <v>1271.123999999993</v>
      </c>
    </row>
    <row r="604" spans="1:4" x14ac:dyDescent="0.25">
      <c r="A604" s="53" t="s">
        <v>115</v>
      </c>
      <c r="B604" s="53" t="s">
        <v>147</v>
      </c>
      <c r="C604" s="53" t="s">
        <v>151</v>
      </c>
      <c r="D604" s="54">
        <v>2.454999999999989</v>
      </c>
    </row>
    <row r="605" spans="1:4" x14ac:dyDescent="0.25">
      <c r="A605" s="53" t="s">
        <v>115</v>
      </c>
      <c r="B605" s="53" t="s">
        <v>147</v>
      </c>
      <c r="C605" s="53" t="s">
        <v>153</v>
      </c>
      <c r="D605" s="54">
        <v>1.3769999999999889</v>
      </c>
    </row>
    <row r="606" spans="1:4" x14ac:dyDescent="0.25">
      <c r="A606" s="53" t="s">
        <v>115</v>
      </c>
      <c r="B606" s="53" t="s">
        <v>147</v>
      </c>
      <c r="C606" s="53" t="s">
        <v>134</v>
      </c>
      <c r="D606" s="54">
        <v>34.696000000000012</v>
      </c>
    </row>
    <row r="607" spans="1:4" x14ac:dyDescent="0.25">
      <c r="A607" s="53" t="s">
        <v>115</v>
      </c>
      <c r="B607" s="53" t="s">
        <v>147</v>
      </c>
      <c r="C607" s="53" t="s">
        <v>136</v>
      </c>
      <c r="D607" s="54">
        <v>110.08499999999999</v>
      </c>
    </row>
    <row r="608" spans="1:4" x14ac:dyDescent="0.25">
      <c r="A608" s="53" t="s">
        <v>115</v>
      </c>
      <c r="B608" s="53" t="s">
        <v>147</v>
      </c>
      <c r="C608" s="53" t="s">
        <v>127</v>
      </c>
      <c r="D608" s="54">
        <v>795.64899999999966</v>
      </c>
    </row>
    <row r="609" spans="1:4" x14ac:dyDescent="0.25">
      <c r="A609" s="53" t="s">
        <v>115</v>
      </c>
      <c r="B609" s="53" t="s">
        <v>147</v>
      </c>
      <c r="C609" s="53" t="s">
        <v>160</v>
      </c>
      <c r="D609" s="54">
        <v>0.21800000000000011</v>
      </c>
    </row>
    <row r="610" spans="1:4" x14ac:dyDescent="0.25">
      <c r="A610" s="53" t="s">
        <v>115</v>
      </c>
      <c r="B610" s="53" t="s">
        <v>147</v>
      </c>
      <c r="C610" s="53" t="s">
        <v>162</v>
      </c>
      <c r="D610" s="54">
        <v>1.9919999999999849</v>
      </c>
    </row>
    <row r="611" spans="1:4" x14ac:dyDescent="0.25">
      <c r="A611" s="53" t="s">
        <v>115</v>
      </c>
      <c r="B611" s="53" t="s">
        <v>147</v>
      </c>
      <c r="C611" s="53" t="s">
        <v>161</v>
      </c>
      <c r="D611" s="54">
        <v>6.7770000000000028</v>
      </c>
    </row>
    <row r="612" spans="1:4" x14ac:dyDescent="0.25">
      <c r="A612" s="53" t="s">
        <v>115</v>
      </c>
      <c r="B612" s="53" t="s">
        <v>147</v>
      </c>
      <c r="C612" s="53" t="s">
        <v>141</v>
      </c>
      <c r="D612" s="54">
        <v>5.378000000000001</v>
      </c>
    </row>
    <row r="613" spans="1:4" x14ac:dyDescent="0.25">
      <c r="A613" s="53" t="s">
        <v>115</v>
      </c>
      <c r="B613" s="53" t="s">
        <v>147</v>
      </c>
      <c r="C613" s="53" t="s">
        <v>147</v>
      </c>
      <c r="D613" s="54">
        <v>0.89300000000000002</v>
      </c>
    </row>
    <row r="614" spans="1:4" x14ac:dyDescent="0.25">
      <c r="A614" s="53" t="s">
        <v>115</v>
      </c>
      <c r="B614" s="53" t="s">
        <v>147</v>
      </c>
      <c r="C614" s="53" t="s">
        <v>164</v>
      </c>
      <c r="D614" s="54">
        <v>1E-3</v>
      </c>
    </row>
    <row r="615" spans="1:4" x14ac:dyDescent="0.25">
      <c r="A615" s="53" t="s">
        <v>115</v>
      </c>
      <c r="B615" s="53" t="s">
        <v>147</v>
      </c>
      <c r="C615" s="53" t="s">
        <v>158</v>
      </c>
      <c r="D615" s="54">
        <v>6.6930000000000103</v>
      </c>
    </row>
    <row r="616" spans="1:4" x14ac:dyDescent="0.25">
      <c r="A616" s="53" t="s">
        <v>115</v>
      </c>
      <c r="B616" s="53" t="s">
        <v>147</v>
      </c>
      <c r="C616" s="53" t="s">
        <v>146</v>
      </c>
      <c r="D616" s="54">
        <v>56.383999999999517</v>
      </c>
    </row>
    <row r="617" spans="1:4" x14ac:dyDescent="0.25">
      <c r="A617" s="53" t="s">
        <v>115</v>
      </c>
      <c r="B617" s="53" t="s">
        <v>147</v>
      </c>
      <c r="C617" s="53" t="s">
        <v>140</v>
      </c>
      <c r="D617" s="54">
        <v>3.7000000000000012E-2</v>
      </c>
    </row>
    <row r="618" spans="1:4" x14ac:dyDescent="0.25">
      <c r="A618" s="53" t="s">
        <v>115</v>
      </c>
      <c r="B618" s="53" t="s">
        <v>147</v>
      </c>
      <c r="C618" s="53" t="s">
        <v>121</v>
      </c>
      <c r="D618" s="54">
        <v>328.91499999999809</v>
      </c>
    </row>
    <row r="619" spans="1:4" x14ac:dyDescent="0.25">
      <c r="A619" s="53" t="s">
        <v>115</v>
      </c>
      <c r="B619" s="53" t="s">
        <v>147</v>
      </c>
      <c r="C619" s="53" t="s">
        <v>129</v>
      </c>
      <c r="D619" s="54">
        <v>76.565000000000325</v>
      </c>
    </row>
    <row r="620" spans="1:4" x14ac:dyDescent="0.25">
      <c r="A620" s="53" t="s">
        <v>115</v>
      </c>
      <c r="B620" s="53" t="s">
        <v>147</v>
      </c>
      <c r="C620" s="53" t="s">
        <v>156</v>
      </c>
      <c r="D620" s="54">
        <v>10.95399999999997</v>
      </c>
    </row>
    <row r="621" spans="1:4" x14ac:dyDescent="0.25">
      <c r="A621" s="53" t="s">
        <v>115</v>
      </c>
      <c r="B621" s="53" t="s">
        <v>147</v>
      </c>
      <c r="C621" s="53" t="s">
        <v>137</v>
      </c>
      <c r="D621" s="54">
        <v>7.4199999999999973</v>
      </c>
    </row>
    <row r="622" spans="1:4" x14ac:dyDescent="0.25">
      <c r="A622" s="53" t="s">
        <v>115</v>
      </c>
      <c r="B622" s="53" t="s">
        <v>147</v>
      </c>
      <c r="C622" s="53" t="s">
        <v>139</v>
      </c>
      <c r="D622" s="54">
        <v>2.8000000000000001E-2</v>
      </c>
    </row>
    <row r="623" spans="1:4" x14ac:dyDescent="0.25">
      <c r="A623" s="53" t="s">
        <v>115</v>
      </c>
      <c r="B623" s="53" t="s">
        <v>147</v>
      </c>
      <c r="C623" s="53" t="s">
        <v>166</v>
      </c>
      <c r="D623" s="54">
        <v>1.2E-2</v>
      </c>
    </row>
    <row r="624" spans="1:4" x14ac:dyDescent="0.25">
      <c r="A624" s="53" t="s">
        <v>115</v>
      </c>
      <c r="B624" s="53" t="s">
        <v>147</v>
      </c>
      <c r="C624" s="53" t="s">
        <v>135</v>
      </c>
      <c r="D624" s="54">
        <v>230.72</v>
      </c>
    </row>
    <row r="625" spans="1:4" x14ac:dyDescent="0.25">
      <c r="A625" s="53" t="s">
        <v>115</v>
      </c>
      <c r="B625" s="53" t="s">
        <v>147</v>
      </c>
      <c r="C625" s="53" t="s">
        <v>124</v>
      </c>
      <c r="D625" s="54">
        <v>45.03799999999999</v>
      </c>
    </row>
    <row r="626" spans="1:4" x14ac:dyDescent="0.25">
      <c r="A626" s="53" t="s">
        <v>115</v>
      </c>
      <c r="B626" s="53" t="s">
        <v>147</v>
      </c>
      <c r="C626" s="53" t="s">
        <v>167</v>
      </c>
      <c r="D626" s="54">
        <v>3.0000000000000001E-3</v>
      </c>
    </row>
    <row r="627" spans="1:4" x14ac:dyDescent="0.25">
      <c r="A627" s="53" t="s">
        <v>115</v>
      </c>
      <c r="B627" s="53" t="s">
        <v>147</v>
      </c>
      <c r="C627" s="53" t="s">
        <v>155</v>
      </c>
      <c r="D627" s="54">
        <v>7.6620000000000141</v>
      </c>
    </row>
    <row r="628" spans="1:4" x14ac:dyDescent="0.25">
      <c r="A628" s="53" t="s">
        <v>115</v>
      </c>
      <c r="B628" s="53" t="s">
        <v>147</v>
      </c>
      <c r="C628" s="53" t="s">
        <v>154</v>
      </c>
      <c r="D628" s="54">
        <v>9.4099999999999859</v>
      </c>
    </row>
    <row r="629" spans="1:4" x14ac:dyDescent="0.25">
      <c r="A629" s="53" t="s">
        <v>115</v>
      </c>
      <c r="B629" s="53" t="s">
        <v>147</v>
      </c>
      <c r="C629" s="53" t="s">
        <v>143</v>
      </c>
      <c r="D629" s="54">
        <v>37.012999999999579</v>
      </c>
    </row>
    <row r="630" spans="1:4" x14ac:dyDescent="0.25">
      <c r="A630" s="53" t="s">
        <v>115</v>
      </c>
      <c r="B630" s="53" t="s">
        <v>147</v>
      </c>
      <c r="C630" s="53" t="s">
        <v>157</v>
      </c>
      <c r="D630" s="54">
        <v>2.7E-2</v>
      </c>
    </row>
    <row r="631" spans="1:4" x14ac:dyDescent="0.25">
      <c r="A631" s="53" t="s">
        <v>115</v>
      </c>
      <c r="B631" s="53" t="s">
        <v>147</v>
      </c>
      <c r="C631" s="53" t="s">
        <v>125</v>
      </c>
      <c r="D631" s="54">
        <v>54.145000000000003</v>
      </c>
    </row>
    <row r="632" spans="1:4" x14ac:dyDescent="0.25">
      <c r="A632" s="53" t="s">
        <v>115</v>
      </c>
      <c r="B632" s="53" t="s">
        <v>147</v>
      </c>
      <c r="C632" s="53" t="s">
        <v>122</v>
      </c>
      <c r="D632" s="54">
        <v>367.43599999999969</v>
      </c>
    </row>
    <row r="633" spans="1:4" x14ac:dyDescent="0.25">
      <c r="A633" s="53" t="s">
        <v>115</v>
      </c>
      <c r="B633" s="53" t="s">
        <v>147</v>
      </c>
      <c r="C633" s="53" t="s">
        <v>152</v>
      </c>
      <c r="D633" s="54">
        <v>20.90300000000018</v>
      </c>
    </row>
    <row r="634" spans="1:4" x14ac:dyDescent="0.25">
      <c r="A634" s="53" t="s">
        <v>115</v>
      </c>
      <c r="B634" s="53" t="s">
        <v>147</v>
      </c>
      <c r="C634" s="53" t="s">
        <v>126</v>
      </c>
      <c r="D634" s="54">
        <v>343.07899999999898</v>
      </c>
    </row>
    <row r="635" spans="1:4" x14ac:dyDescent="0.25">
      <c r="A635" s="53" t="s">
        <v>115</v>
      </c>
      <c r="B635" s="53" t="s">
        <v>147</v>
      </c>
      <c r="C635" s="53" t="s">
        <v>165</v>
      </c>
      <c r="D635" s="54">
        <v>7.5000000000000011E-2</v>
      </c>
    </row>
    <row r="636" spans="1:4" x14ac:dyDescent="0.25">
      <c r="A636" s="53" t="s">
        <v>115</v>
      </c>
      <c r="B636" s="53" t="s">
        <v>147</v>
      </c>
      <c r="C636" s="53" t="s">
        <v>132</v>
      </c>
      <c r="D636" s="54">
        <v>0.93800000000000006</v>
      </c>
    </row>
    <row r="637" spans="1:4" x14ac:dyDescent="0.25">
      <c r="A637" s="53" t="s">
        <v>115</v>
      </c>
      <c r="B637" s="53" t="s">
        <v>147</v>
      </c>
      <c r="C637" s="53" t="s">
        <v>168</v>
      </c>
      <c r="D637" s="54">
        <v>2E-3</v>
      </c>
    </row>
    <row r="638" spans="1:4" x14ac:dyDescent="0.25">
      <c r="A638" s="53" t="s">
        <v>115</v>
      </c>
      <c r="B638" s="53" t="s">
        <v>164</v>
      </c>
      <c r="C638" s="53" t="s">
        <v>120</v>
      </c>
      <c r="D638" s="54">
        <v>14.709999999999949</v>
      </c>
    </row>
    <row r="639" spans="1:4" x14ac:dyDescent="0.25">
      <c r="A639" s="53" t="s">
        <v>115</v>
      </c>
      <c r="B639" s="53" t="s">
        <v>164</v>
      </c>
      <c r="C639" s="53" t="s">
        <v>142</v>
      </c>
      <c r="D639" s="54">
        <v>7.4000000000000052E-2</v>
      </c>
    </row>
    <row r="640" spans="1:4" x14ac:dyDescent="0.25">
      <c r="A640" s="53" t="s">
        <v>115</v>
      </c>
      <c r="B640" s="53" t="s">
        <v>164</v>
      </c>
      <c r="C640" s="53" t="s">
        <v>145</v>
      </c>
      <c r="D640" s="54">
        <v>0.21400000000000011</v>
      </c>
    </row>
    <row r="641" spans="1:4" x14ac:dyDescent="0.25">
      <c r="A641" s="53" t="s">
        <v>115</v>
      </c>
      <c r="B641" s="53" t="s">
        <v>164</v>
      </c>
      <c r="C641" s="53" t="s">
        <v>119</v>
      </c>
      <c r="D641" s="54">
        <v>2.73</v>
      </c>
    </row>
    <row r="642" spans="1:4" x14ac:dyDescent="0.25">
      <c r="A642" s="53" t="s">
        <v>115</v>
      </c>
      <c r="B642" s="53" t="s">
        <v>164</v>
      </c>
      <c r="C642" s="53" t="s">
        <v>133</v>
      </c>
      <c r="D642" s="54">
        <v>0.8170000000000005</v>
      </c>
    </row>
    <row r="643" spans="1:4" x14ac:dyDescent="0.25">
      <c r="A643" s="53" t="s">
        <v>115</v>
      </c>
      <c r="B643" s="53" t="s">
        <v>164</v>
      </c>
      <c r="C643" s="53" t="s">
        <v>130</v>
      </c>
      <c r="D643" s="54">
        <v>0.8130000000000005</v>
      </c>
    </row>
    <row r="644" spans="1:4" x14ac:dyDescent="0.25">
      <c r="A644" s="53" t="s">
        <v>115</v>
      </c>
      <c r="B644" s="53" t="s">
        <v>164</v>
      </c>
      <c r="C644" s="53" t="s">
        <v>134</v>
      </c>
      <c r="D644" s="54">
        <v>8.8049999999999926</v>
      </c>
    </row>
    <row r="645" spans="1:4" x14ac:dyDescent="0.25">
      <c r="A645" s="53" t="s">
        <v>115</v>
      </c>
      <c r="B645" s="53" t="s">
        <v>164</v>
      </c>
      <c r="C645" s="53" t="s">
        <v>136</v>
      </c>
      <c r="D645" s="54">
        <v>1.2310000000000001</v>
      </c>
    </row>
    <row r="646" spans="1:4" x14ac:dyDescent="0.25">
      <c r="A646" s="53" t="s">
        <v>115</v>
      </c>
      <c r="B646" s="53" t="s">
        <v>164</v>
      </c>
      <c r="C646" s="53" t="s">
        <v>127</v>
      </c>
      <c r="D646" s="54">
        <v>26.73200000000006</v>
      </c>
    </row>
    <row r="647" spans="1:4" x14ac:dyDescent="0.25">
      <c r="A647" s="53" t="s">
        <v>115</v>
      </c>
      <c r="B647" s="53" t="s">
        <v>164</v>
      </c>
      <c r="C647" s="53" t="s">
        <v>161</v>
      </c>
      <c r="D647" s="54">
        <v>2.7000000000000021E-2</v>
      </c>
    </row>
    <row r="648" spans="1:4" x14ac:dyDescent="0.25">
      <c r="A648" s="53" t="s">
        <v>115</v>
      </c>
      <c r="B648" s="53" t="s">
        <v>164</v>
      </c>
      <c r="C648" s="53" t="s">
        <v>141</v>
      </c>
      <c r="D648" s="54">
        <v>1.0999999999999999E-2</v>
      </c>
    </row>
    <row r="649" spans="1:4" x14ac:dyDescent="0.25">
      <c r="A649" s="53" t="s">
        <v>115</v>
      </c>
      <c r="B649" s="53" t="s">
        <v>164</v>
      </c>
      <c r="C649" s="53" t="s">
        <v>158</v>
      </c>
      <c r="D649" s="54">
        <v>1.024999999999999</v>
      </c>
    </row>
    <row r="650" spans="1:4" x14ac:dyDescent="0.25">
      <c r="A650" s="53" t="s">
        <v>115</v>
      </c>
      <c r="B650" s="53" t="s">
        <v>164</v>
      </c>
      <c r="C650" s="53" t="s">
        <v>146</v>
      </c>
      <c r="D650" s="54">
        <v>0.46100000000000008</v>
      </c>
    </row>
    <row r="651" spans="1:4" x14ac:dyDescent="0.25">
      <c r="A651" s="53" t="s">
        <v>115</v>
      </c>
      <c r="B651" s="53" t="s">
        <v>164</v>
      </c>
      <c r="C651" s="53" t="s">
        <v>129</v>
      </c>
      <c r="D651" s="54">
        <v>2.3299999999999881</v>
      </c>
    </row>
    <row r="652" spans="1:4" x14ac:dyDescent="0.25">
      <c r="A652" s="53" t="s">
        <v>115</v>
      </c>
      <c r="B652" s="53" t="s">
        <v>164</v>
      </c>
      <c r="C652" s="53" t="s">
        <v>137</v>
      </c>
      <c r="D652" s="54">
        <v>1.9E-2</v>
      </c>
    </row>
    <row r="653" spans="1:4" x14ac:dyDescent="0.25">
      <c r="A653" s="53" t="s">
        <v>115</v>
      </c>
      <c r="B653" s="53" t="s">
        <v>164</v>
      </c>
      <c r="C653" s="53" t="s">
        <v>135</v>
      </c>
      <c r="D653" s="54">
        <v>0.502</v>
      </c>
    </row>
    <row r="654" spans="1:4" x14ac:dyDescent="0.25">
      <c r="A654" s="53" t="s">
        <v>115</v>
      </c>
      <c r="B654" s="53" t="s">
        <v>164</v>
      </c>
      <c r="C654" s="53" t="s">
        <v>124</v>
      </c>
      <c r="D654" s="54">
        <v>0.246</v>
      </c>
    </row>
    <row r="655" spans="1:4" x14ac:dyDescent="0.25">
      <c r="A655" s="53" t="s">
        <v>115</v>
      </c>
      <c r="B655" s="53" t="s">
        <v>164</v>
      </c>
      <c r="C655" s="53" t="s">
        <v>154</v>
      </c>
      <c r="D655" s="54">
        <v>7.5000000000000053E-2</v>
      </c>
    </row>
    <row r="656" spans="1:4" x14ac:dyDescent="0.25">
      <c r="A656" s="53" t="s">
        <v>115</v>
      </c>
      <c r="B656" s="53" t="s">
        <v>164</v>
      </c>
      <c r="C656" s="53" t="s">
        <v>125</v>
      </c>
      <c r="D656" s="54">
        <v>18.62</v>
      </c>
    </row>
    <row r="657" spans="1:4" x14ac:dyDescent="0.25">
      <c r="A657" s="53" t="s">
        <v>115</v>
      </c>
      <c r="B657" s="53" t="s">
        <v>164</v>
      </c>
      <c r="C657" s="53" t="s">
        <v>122</v>
      </c>
      <c r="D657" s="54">
        <v>4.2919999999999741</v>
      </c>
    </row>
    <row r="658" spans="1:4" x14ac:dyDescent="0.25">
      <c r="A658" s="53" t="s">
        <v>115</v>
      </c>
      <c r="B658" s="53" t="s">
        <v>164</v>
      </c>
      <c r="C658" s="53" t="s">
        <v>152</v>
      </c>
      <c r="D658" s="54">
        <v>0.16200000000000009</v>
      </c>
    </row>
    <row r="659" spans="1:4" x14ac:dyDescent="0.25">
      <c r="A659" s="53" t="s">
        <v>115</v>
      </c>
      <c r="B659" s="53" t="s">
        <v>164</v>
      </c>
      <c r="C659" s="53" t="s">
        <v>126</v>
      </c>
      <c r="D659" s="54">
        <v>25.491000000000241</v>
      </c>
    </row>
    <row r="660" spans="1:4" x14ac:dyDescent="0.25">
      <c r="A660" s="53" t="s">
        <v>115</v>
      </c>
      <c r="B660" s="53" t="s">
        <v>158</v>
      </c>
      <c r="C660" s="53" t="s">
        <v>119</v>
      </c>
      <c r="D660" s="54">
        <v>0.39800000000000019</v>
      </c>
    </row>
    <row r="661" spans="1:4" x14ac:dyDescent="0.25">
      <c r="A661" s="53" t="s">
        <v>115</v>
      </c>
      <c r="B661" s="53" t="s">
        <v>158</v>
      </c>
      <c r="C661" s="53" t="s">
        <v>130</v>
      </c>
      <c r="D661" s="54">
        <v>2.8000000000000001E-2</v>
      </c>
    </row>
    <row r="662" spans="1:4" x14ac:dyDescent="0.25">
      <c r="A662" s="53" t="s">
        <v>115</v>
      </c>
      <c r="B662" s="53" t="s">
        <v>158</v>
      </c>
      <c r="C662" s="53" t="s">
        <v>136</v>
      </c>
      <c r="D662" s="54">
        <v>0.24800000000000011</v>
      </c>
    </row>
    <row r="663" spans="1:4" x14ac:dyDescent="0.25">
      <c r="A663" s="53" t="s">
        <v>115</v>
      </c>
      <c r="B663" s="53" t="s">
        <v>158</v>
      </c>
      <c r="C663" s="53" t="s">
        <v>127</v>
      </c>
      <c r="D663" s="54">
        <v>0.70400000000000029</v>
      </c>
    </row>
    <row r="664" spans="1:4" x14ac:dyDescent="0.25">
      <c r="A664" s="53" t="s">
        <v>115</v>
      </c>
      <c r="B664" s="53" t="s">
        <v>158</v>
      </c>
      <c r="C664" s="53" t="s">
        <v>164</v>
      </c>
      <c r="D664" s="54">
        <v>3.0000000000000001E-3</v>
      </c>
    </row>
    <row r="665" spans="1:4" x14ac:dyDescent="0.25">
      <c r="A665" s="53" t="s">
        <v>115</v>
      </c>
      <c r="B665" s="53" t="s">
        <v>158</v>
      </c>
      <c r="C665" s="53" t="s">
        <v>140</v>
      </c>
      <c r="D665" s="54">
        <v>0.11700000000000001</v>
      </c>
    </row>
    <row r="666" spans="1:4" x14ac:dyDescent="0.25">
      <c r="A666" s="53" t="s">
        <v>115</v>
      </c>
      <c r="B666" s="53" t="s">
        <v>158</v>
      </c>
      <c r="C666" s="53" t="s">
        <v>121</v>
      </c>
      <c r="D666" s="54">
        <v>7.7000000000000013E-2</v>
      </c>
    </row>
    <row r="667" spans="1:4" x14ac:dyDescent="0.25">
      <c r="A667" s="53" t="s">
        <v>115</v>
      </c>
      <c r="B667" s="53" t="s">
        <v>158</v>
      </c>
      <c r="C667" s="53" t="s">
        <v>135</v>
      </c>
      <c r="D667" s="54">
        <v>5.8999999999999997E-2</v>
      </c>
    </row>
    <row r="668" spans="1:4" x14ac:dyDescent="0.25">
      <c r="A668" s="53" t="s">
        <v>115</v>
      </c>
      <c r="B668" s="53" t="s">
        <v>158</v>
      </c>
      <c r="C668" s="53" t="s">
        <v>124</v>
      </c>
      <c r="D668" s="54">
        <v>0.48100000000000032</v>
      </c>
    </row>
    <row r="669" spans="1:4" x14ac:dyDescent="0.25">
      <c r="A669" s="53" t="s">
        <v>115</v>
      </c>
      <c r="B669" s="53" t="s">
        <v>158</v>
      </c>
      <c r="C669" s="53" t="s">
        <v>125</v>
      </c>
      <c r="D669" s="54">
        <v>1E-3</v>
      </c>
    </row>
    <row r="670" spans="1:4" x14ac:dyDescent="0.25">
      <c r="A670" s="53" t="s">
        <v>115</v>
      </c>
      <c r="B670" s="53" t="s">
        <v>158</v>
      </c>
      <c r="C670" s="53" t="s">
        <v>122</v>
      </c>
      <c r="D670" s="54">
        <v>0.02</v>
      </c>
    </row>
    <row r="671" spans="1:4" x14ac:dyDescent="0.25">
      <c r="A671" s="53" t="s">
        <v>115</v>
      </c>
      <c r="B671" s="53" t="s">
        <v>158</v>
      </c>
      <c r="C671" s="53" t="s">
        <v>131</v>
      </c>
      <c r="D671" s="54">
        <v>0.02</v>
      </c>
    </row>
    <row r="672" spans="1:4" x14ac:dyDescent="0.25">
      <c r="A672" s="53" t="s">
        <v>115</v>
      </c>
      <c r="B672" s="53" t="s">
        <v>146</v>
      </c>
      <c r="C672" s="53" t="s">
        <v>119</v>
      </c>
      <c r="D672" s="54">
        <v>5.5000000000000007E-2</v>
      </c>
    </row>
    <row r="673" spans="1:4" x14ac:dyDescent="0.25">
      <c r="A673" s="53" t="s">
        <v>115</v>
      </c>
      <c r="B673" s="53" t="s">
        <v>146</v>
      </c>
      <c r="C673" s="53" t="s">
        <v>124</v>
      </c>
      <c r="D673" s="54">
        <v>1.0999999999999999E-2</v>
      </c>
    </row>
    <row r="674" spans="1:4" x14ac:dyDescent="0.25">
      <c r="A674" s="53" t="s">
        <v>115</v>
      </c>
      <c r="B674" s="53" t="s">
        <v>140</v>
      </c>
      <c r="C674" s="53" t="s">
        <v>120</v>
      </c>
      <c r="D674" s="54">
        <v>51.798999999999843</v>
      </c>
    </row>
    <row r="675" spans="1:4" x14ac:dyDescent="0.25">
      <c r="A675" s="53" t="s">
        <v>115</v>
      </c>
      <c r="B675" s="53" t="s">
        <v>140</v>
      </c>
      <c r="C675" s="53" t="s">
        <v>142</v>
      </c>
      <c r="D675" s="54">
        <v>2.424999999999998</v>
      </c>
    </row>
    <row r="676" spans="1:4" x14ac:dyDescent="0.25">
      <c r="A676" s="53" t="s">
        <v>115</v>
      </c>
      <c r="B676" s="53" t="s">
        <v>140</v>
      </c>
      <c r="C676" s="53" t="s">
        <v>145</v>
      </c>
      <c r="D676" s="54">
        <v>0.59800000000000042</v>
      </c>
    </row>
    <row r="677" spans="1:4" x14ac:dyDescent="0.25">
      <c r="A677" s="53" t="s">
        <v>115</v>
      </c>
      <c r="B677" s="53" t="s">
        <v>140</v>
      </c>
      <c r="C677" s="53" t="s">
        <v>119</v>
      </c>
      <c r="D677" s="54">
        <v>39.704000000000022</v>
      </c>
    </row>
    <row r="678" spans="1:4" x14ac:dyDescent="0.25">
      <c r="A678" s="53" t="s">
        <v>115</v>
      </c>
      <c r="B678" s="53" t="s">
        <v>140</v>
      </c>
      <c r="C678" s="53" t="s">
        <v>133</v>
      </c>
      <c r="D678" s="54">
        <v>5.151999999999985</v>
      </c>
    </row>
    <row r="679" spans="1:4" x14ac:dyDescent="0.25">
      <c r="A679" s="53" t="s">
        <v>115</v>
      </c>
      <c r="B679" s="53" t="s">
        <v>140</v>
      </c>
      <c r="C679" s="53" t="s">
        <v>130</v>
      </c>
      <c r="D679" s="54">
        <v>11.88099999999984</v>
      </c>
    </row>
    <row r="680" spans="1:4" x14ac:dyDescent="0.25">
      <c r="A680" s="53" t="s">
        <v>115</v>
      </c>
      <c r="B680" s="53" t="s">
        <v>140</v>
      </c>
      <c r="C680" s="53" t="s">
        <v>151</v>
      </c>
      <c r="D680" s="54">
        <v>2.1779999999999999</v>
      </c>
    </row>
    <row r="681" spans="1:4" x14ac:dyDescent="0.25">
      <c r="A681" s="53" t="s">
        <v>115</v>
      </c>
      <c r="B681" s="53" t="s">
        <v>140</v>
      </c>
      <c r="C681" s="53" t="s">
        <v>134</v>
      </c>
      <c r="D681" s="54">
        <v>65.756000000000199</v>
      </c>
    </row>
    <row r="682" spans="1:4" x14ac:dyDescent="0.25">
      <c r="A682" s="53" t="s">
        <v>115</v>
      </c>
      <c r="B682" s="53" t="s">
        <v>140</v>
      </c>
      <c r="C682" s="53" t="s">
        <v>136</v>
      </c>
      <c r="D682" s="54">
        <v>94.321000000000268</v>
      </c>
    </row>
    <row r="683" spans="1:4" x14ac:dyDescent="0.25">
      <c r="A683" s="53" t="s">
        <v>115</v>
      </c>
      <c r="B683" s="53" t="s">
        <v>140</v>
      </c>
      <c r="C683" s="53" t="s">
        <v>127</v>
      </c>
      <c r="D683" s="54">
        <v>89.291000000001191</v>
      </c>
    </row>
    <row r="684" spans="1:4" x14ac:dyDescent="0.25">
      <c r="A684" s="53" t="s">
        <v>115</v>
      </c>
      <c r="B684" s="53" t="s">
        <v>140</v>
      </c>
      <c r="C684" s="53" t="s">
        <v>160</v>
      </c>
      <c r="D684" s="54">
        <v>0.22800000000000001</v>
      </c>
    </row>
    <row r="685" spans="1:4" x14ac:dyDescent="0.25">
      <c r="A685" s="53" t="s">
        <v>115</v>
      </c>
      <c r="B685" s="53" t="s">
        <v>140</v>
      </c>
      <c r="C685" s="53" t="s">
        <v>162</v>
      </c>
      <c r="D685" s="54">
        <v>0.22900000000000001</v>
      </c>
    </row>
    <row r="686" spans="1:4" x14ac:dyDescent="0.25">
      <c r="A686" s="53" t="s">
        <v>115</v>
      </c>
      <c r="B686" s="53" t="s">
        <v>140</v>
      </c>
      <c r="C686" s="53" t="s">
        <v>161</v>
      </c>
      <c r="D686" s="54">
        <v>2.5739999999999998</v>
      </c>
    </row>
    <row r="687" spans="1:4" x14ac:dyDescent="0.25">
      <c r="A687" s="53" t="s">
        <v>115</v>
      </c>
      <c r="B687" s="53" t="s">
        <v>140</v>
      </c>
      <c r="C687" s="53" t="s">
        <v>141</v>
      </c>
      <c r="D687" s="54">
        <v>0.47600000000000009</v>
      </c>
    </row>
    <row r="688" spans="1:4" x14ac:dyDescent="0.25">
      <c r="A688" s="53" t="s">
        <v>115</v>
      </c>
      <c r="B688" s="53" t="s">
        <v>140</v>
      </c>
      <c r="C688" s="53" t="s">
        <v>158</v>
      </c>
      <c r="D688" s="54">
        <v>6.4010000000000682</v>
      </c>
    </row>
    <row r="689" spans="1:4" x14ac:dyDescent="0.25">
      <c r="A689" s="53" t="s">
        <v>115</v>
      </c>
      <c r="B689" s="53" t="s">
        <v>140</v>
      </c>
      <c r="C689" s="53" t="s">
        <v>146</v>
      </c>
      <c r="D689" s="54">
        <v>6.8789999999999774</v>
      </c>
    </row>
    <row r="690" spans="1:4" x14ac:dyDescent="0.25">
      <c r="A690" s="53" t="s">
        <v>115</v>
      </c>
      <c r="B690" s="53" t="s">
        <v>140</v>
      </c>
      <c r="C690" s="53" t="s">
        <v>121</v>
      </c>
      <c r="D690" s="54">
        <v>1.051999999999998</v>
      </c>
    </row>
    <row r="691" spans="1:4" x14ac:dyDescent="0.25">
      <c r="A691" s="53" t="s">
        <v>115</v>
      </c>
      <c r="B691" s="53" t="s">
        <v>140</v>
      </c>
      <c r="C691" s="53" t="s">
        <v>129</v>
      </c>
      <c r="D691" s="54">
        <v>6.9860000000000806</v>
      </c>
    </row>
    <row r="692" spans="1:4" x14ac:dyDescent="0.25">
      <c r="A692" s="53" t="s">
        <v>115</v>
      </c>
      <c r="B692" s="53" t="s">
        <v>140</v>
      </c>
      <c r="C692" s="53" t="s">
        <v>156</v>
      </c>
      <c r="D692" s="54">
        <v>0.15100000000000011</v>
      </c>
    </row>
    <row r="693" spans="1:4" x14ac:dyDescent="0.25">
      <c r="A693" s="53" t="s">
        <v>115</v>
      </c>
      <c r="B693" s="53" t="s">
        <v>140</v>
      </c>
      <c r="C693" s="53" t="s">
        <v>137</v>
      </c>
      <c r="D693" s="54">
        <v>3.5169999999999928</v>
      </c>
    </row>
    <row r="694" spans="1:4" x14ac:dyDescent="0.25">
      <c r="A694" s="53" t="s">
        <v>115</v>
      </c>
      <c r="B694" s="53" t="s">
        <v>140</v>
      </c>
      <c r="C694" s="53" t="s">
        <v>135</v>
      </c>
      <c r="D694" s="54">
        <v>6.6540000000000354</v>
      </c>
    </row>
    <row r="695" spans="1:4" x14ac:dyDescent="0.25">
      <c r="A695" s="53" t="s">
        <v>115</v>
      </c>
      <c r="B695" s="53" t="s">
        <v>140</v>
      </c>
      <c r="C695" s="53" t="s">
        <v>124</v>
      </c>
      <c r="D695" s="54">
        <v>16.193000000000001</v>
      </c>
    </row>
    <row r="696" spans="1:4" x14ac:dyDescent="0.25">
      <c r="A696" s="53" t="s">
        <v>115</v>
      </c>
      <c r="B696" s="53" t="s">
        <v>140</v>
      </c>
      <c r="C696" s="53" t="s">
        <v>167</v>
      </c>
      <c r="D696" s="54">
        <v>2E-3</v>
      </c>
    </row>
    <row r="697" spans="1:4" x14ac:dyDescent="0.25">
      <c r="A697" s="53" t="s">
        <v>115</v>
      </c>
      <c r="B697" s="53" t="s">
        <v>140</v>
      </c>
      <c r="C697" s="53" t="s">
        <v>155</v>
      </c>
      <c r="D697" s="54">
        <v>1.4E-2</v>
      </c>
    </row>
    <row r="698" spans="1:4" x14ac:dyDescent="0.25">
      <c r="A698" s="53" t="s">
        <v>115</v>
      </c>
      <c r="B698" s="53" t="s">
        <v>140</v>
      </c>
      <c r="C698" s="53" t="s">
        <v>154</v>
      </c>
      <c r="D698" s="54">
        <v>1.653999999999991</v>
      </c>
    </row>
    <row r="699" spans="1:4" x14ac:dyDescent="0.25">
      <c r="A699" s="53" t="s">
        <v>115</v>
      </c>
      <c r="B699" s="53" t="s">
        <v>140</v>
      </c>
      <c r="C699" s="53" t="s">
        <v>143</v>
      </c>
      <c r="D699" s="54">
        <v>0.13500000000000001</v>
      </c>
    </row>
    <row r="700" spans="1:4" x14ac:dyDescent="0.25">
      <c r="A700" s="53" t="s">
        <v>115</v>
      </c>
      <c r="B700" s="53" t="s">
        <v>140</v>
      </c>
      <c r="C700" s="53" t="s">
        <v>125</v>
      </c>
      <c r="D700" s="54">
        <v>128.29300000000009</v>
      </c>
    </row>
    <row r="701" spans="1:4" x14ac:dyDescent="0.25">
      <c r="A701" s="53" t="s">
        <v>115</v>
      </c>
      <c r="B701" s="53" t="s">
        <v>140</v>
      </c>
      <c r="C701" s="53" t="s">
        <v>122</v>
      </c>
      <c r="D701" s="54">
        <v>23.73200000000071</v>
      </c>
    </row>
    <row r="702" spans="1:4" x14ac:dyDescent="0.25">
      <c r="A702" s="53" t="s">
        <v>115</v>
      </c>
      <c r="B702" s="53" t="s">
        <v>140</v>
      </c>
      <c r="C702" s="53" t="s">
        <v>152</v>
      </c>
      <c r="D702" s="54">
        <v>5.407000000000088</v>
      </c>
    </row>
    <row r="703" spans="1:4" x14ac:dyDescent="0.25">
      <c r="A703" s="53" t="s">
        <v>115</v>
      </c>
      <c r="B703" s="53" t="s">
        <v>140</v>
      </c>
      <c r="C703" s="53" t="s">
        <v>126</v>
      </c>
      <c r="D703" s="54">
        <v>62.27099999999664</v>
      </c>
    </row>
    <row r="704" spans="1:4" x14ac:dyDescent="0.25">
      <c r="A704" s="53" t="s">
        <v>115</v>
      </c>
      <c r="B704" s="53" t="s">
        <v>140</v>
      </c>
      <c r="C704" s="53" t="s">
        <v>165</v>
      </c>
      <c r="D704" s="54">
        <v>0.11700000000000001</v>
      </c>
    </row>
    <row r="705" spans="1:4" x14ac:dyDescent="0.25">
      <c r="A705" s="53" t="s">
        <v>115</v>
      </c>
      <c r="B705" s="53" t="s">
        <v>140</v>
      </c>
      <c r="C705" s="53" t="s">
        <v>132</v>
      </c>
      <c r="D705" s="54">
        <v>8.5000000000000006E-2</v>
      </c>
    </row>
    <row r="706" spans="1:4" x14ac:dyDescent="0.25">
      <c r="A706" s="53" t="s">
        <v>115</v>
      </c>
      <c r="B706" s="53" t="s">
        <v>121</v>
      </c>
      <c r="C706" s="53" t="s">
        <v>120</v>
      </c>
      <c r="D706" s="54">
        <v>3.171999999999997</v>
      </c>
    </row>
    <row r="707" spans="1:4" x14ac:dyDescent="0.25">
      <c r="A707" s="53" t="s">
        <v>115</v>
      </c>
      <c r="B707" s="53" t="s">
        <v>121</v>
      </c>
      <c r="C707" s="53" t="s">
        <v>145</v>
      </c>
      <c r="D707" s="54">
        <v>7.2000000000000008E-2</v>
      </c>
    </row>
    <row r="708" spans="1:4" x14ac:dyDescent="0.25">
      <c r="A708" s="53" t="s">
        <v>115</v>
      </c>
      <c r="B708" s="53" t="s">
        <v>121</v>
      </c>
      <c r="C708" s="53" t="s">
        <v>119</v>
      </c>
      <c r="D708" s="54">
        <v>3.6069999999999962</v>
      </c>
    </row>
    <row r="709" spans="1:4" x14ac:dyDescent="0.25">
      <c r="A709" s="53" t="s">
        <v>115</v>
      </c>
      <c r="B709" s="53" t="s">
        <v>121</v>
      </c>
      <c r="C709" s="53" t="s">
        <v>133</v>
      </c>
      <c r="D709" s="54">
        <v>0.29599999999999999</v>
      </c>
    </row>
    <row r="710" spans="1:4" x14ac:dyDescent="0.25">
      <c r="A710" s="53" t="s">
        <v>115</v>
      </c>
      <c r="B710" s="53" t="s">
        <v>121</v>
      </c>
      <c r="C710" s="53" t="s">
        <v>134</v>
      </c>
      <c r="D710" s="54">
        <v>0.56600000000000006</v>
      </c>
    </row>
    <row r="711" spans="1:4" x14ac:dyDescent="0.25">
      <c r="A711" s="53" t="s">
        <v>115</v>
      </c>
      <c r="B711" s="53" t="s">
        <v>121</v>
      </c>
      <c r="C711" s="53" t="s">
        <v>136</v>
      </c>
      <c r="D711" s="54">
        <v>0.114</v>
      </c>
    </row>
    <row r="712" spans="1:4" x14ac:dyDescent="0.25">
      <c r="A712" s="53" t="s">
        <v>115</v>
      </c>
      <c r="B712" s="53" t="s">
        <v>121</v>
      </c>
      <c r="C712" s="53" t="s">
        <v>127</v>
      </c>
      <c r="D712" s="54">
        <v>11.371</v>
      </c>
    </row>
    <row r="713" spans="1:4" x14ac:dyDescent="0.25">
      <c r="A713" s="53" t="s">
        <v>115</v>
      </c>
      <c r="B713" s="53" t="s">
        <v>121</v>
      </c>
      <c r="C713" s="53" t="s">
        <v>161</v>
      </c>
      <c r="D713" s="54">
        <v>1E-3</v>
      </c>
    </row>
    <row r="714" spans="1:4" x14ac:dyDescent="0.25">
      <c r="A714" s="53" t="s">
        <v>115</v>
      </c>
      <c r="B714" s="53" t="s">
        <v>121</v>
      </c>
      <c r="C714" s="53" t="s">
        <v>158</v>
      </c>
      <c r="D714" s="54">
        <v>4.8000000000000008E-2</v>
      </c>
    </row>
    <row r="715" spans="1:4" x14ac:dyDescent="0.25">
      <c r="A715" s="53" t="s">
        <v>115</v>
      </c>
      <c r="B715" s="53" t="s">
        <v>121</v>
      </c>
      <c r="C715" s="53" t="s">
        <v>140</v>
      </c>
      <c r="D715" s="54">
        <v>0.01</v>
      </c>
    </row>
    <row r="716" spans="1:4" x14ac:dyDescent="0.25">
      <c r="A716" s="53" t="s">
        <v>115</v>
      </c>
      <c r="B716" s="53" t="s">
        <v>121</v>
      </c>
      <c r="C716" s="53" t="s">
        <v>129</v>
      </c>
      <c r="D716" s="54">
        <v>0.2050000000000001</v>
      </c>
    </row>
    <row r="717" spans="1:4" x14ac:dyDescent="0.25">
      <c r="A717" s="53" t="s">
        <v>115</v>
      </c>
      <c r="B717" s="53" t="s">
        <v>121</v>
      </c>
      <c r="C717" s="53" t="s">
        <v>135</v>
      </c>
      <c r="D717" s="54">
        <v>2.5999999999999999E-2</v>
      </c>
    </row>
    <row r="718" spans="1:4" x14ac:dyDescent="0.25">
      <c r="A718" s="53" t="s">
        <v>115</v>
      </c>
      <c r="B718" s="53" t="s">
        <v>121</v>
      </c>
      <c r="C718" s="53" t="s">
        <v>124</v>
      </c>
      <c r="D718" s="54">
        <v>84.385999999999981</v>
      </c>
    </row>
    <row r="719" spans="1:4" x14ac:dyDescent="0.25">
      <c r="A719" s="53" t="s">
        <v>115</v>
      </c>
      <c r="B719" s="53" t="s">
        <v>121</v>
      </c>
      <c r="C719" s="53" t="s">
        <v>143</v>
      </c>
      <c r="D719" s="54">
        <v>2.0000000000000011E-2</v>
      </c>
    </row>
    <row r="720" spans="1:4" x14ac:dyDescent="0.25">
      <c r="A720" s="53" t="s">
        <v>115</v>
      </c>
      <c r="B720" s="53" t="s">
        <v>121</v>
      </c>
      <c r="C720" s="53" t="s">
        <v>125</v>
      </c>
      <c r="D720" s="54">
        <v>1.2529999999999999</v>
      </c>
    </row>
    <row r="721" spans="1:4" x14ac:dyDescent="0.25">
      <c r="A721" s="53" t="s">
        <v>115</v>
      </c>
      <c r="B721" s="53" t="s">
        <v>121</v>
      </c>
      <c r="C721" s="53" t="s">
        <v>122</v>
      </c>
      <c r="D721" s="54">
        <v>1.803999999999998</v>
      </c>
    </row>
    <row r="722" spans="1:4" x14ac:dyDescent="0.25">
      <c r="A722" s="53" t="s">
        <v>115</v>
      </c>
      <c r="B722" s="53" t="s">
        <v>121</v>
      </c>
      <c r="C722" s="53" t="s">
        <v>152</v>
      </c>
      <c r="D722" s="54">
        <v>4.0000000000000001E-3</v>
      </c>
    </row>
    <row r="723" spans="1:4" x14ac:dyDescent="0.25">
      <c r="A723" s="53" t="s">
        <v>115</v>
      </c>
      <c r="B723" s="53" t="s">
        <v>121</v>
      </c>
      <c r="C723" s="53" t="s">
        <v>126</v>
      </c>
      <c r="D723" s="54">
        <v>2.9529999999999981</v>
      </c>
    </row>
    <row r="724" spans="1:4" x14ac:dyDescent="0.25">
      <c r="A724" s="53" t="s">
        <v>115</v>
      </c>
      <c r="B724" s="53" t="s">
        <v>121</v>
      </c>
      <c r="C724" s="53" t="s">
        <v>131</v>
      </c>
      <c r="D724" s="54">
        <v>0.32800000000000012</v>
      </c>
    </row>
    <row r="725" spans="1:4" x14ac:dyDescent="0.25">
      <c r="A725" s="53" t="s">
        <v>115</v>
      </c>
      <c r="B725" s="53" t="s">
        <v>159</v>
      </c>
      <c r="C725" s="53" t="s">
        <v>120</v>
      </c>
      <c r="D725" s="54">
        <v>13.91699999999947</v>
      </c>
    </row>
    <row r="726" spans="1:4" x14ac:dyDescent="0.25">
      <c r="A726" s="53" t="s">
        <v>115</v>
      </c>
      <c r="B726" s="53" t="s">
        <v>159</v>
      </c>
      <c r="C726" s="53" t="s">
        <v>142</v>
      </c>
      <c r="D726" s="54">
        <v>4.2499999999999956</v>
      </c>
    </row>
    <row r="727" spans="1:4" x14ac:dyDescent="0.25">
      <c r="A727" s="53" t="s">
        <v>115</v>
      </c>
      <c r="B727" s="53" t="s">
        <v>159</v>
      </c>
      <c r="C727" s="53" t="s">
        <v>145</v>
      </c>
      <c r="D727" s="54">
        <v>0.47900000000000043</v>
      </c>
    </row>
    <row r="728" spans="1:4" x14ac:dyDescent="0.25">
      <c r="A728" s="53" t="s">
        <v>115</v>
      </c>
      <c r="B728" s="53" t="s">
        <v>159</v>
      </c>
      <c r="C728" s="53" t="s">
        <v>119</v>
      </c>
      <c r="D728" s="54">
        <v>1.1009999999999951</v>
      </c>
    </row>
    <row r="729" spans="1:4" x14ac:dyDescent="0.25">
      <c r="A729" s="53" t="s">
        <v>115</v>
      </c>
      <c r="B729" s="53" t="s">
        <v>159</v>
      </c>
      <c r="C729" s="53" t="s">
        <v>133</v>
      </c>
      <c r="D729" s="54">
        <v>2.9889999999999461</v>
      </c>
    </row>
    <row r="730" spans="1:4" x14ac:dyDescent="0.25">
      <c r="A730" s="53" t="s">
        <v>115</v>
      </c>
      <c r="B730" s="53" t="s">
        <v>159</v>
      </c>
      <c r="C730" s="53" t="s">
        <v>130</v>
      </c>
      <c r="D730" s="54">
        <v>7.5160000000002078</v>
      </c>
    </row>
    <row r="731" spans="1:4" x14ac:dyDescent="0.25">
      <c r="A731" s="53" t="s">
        <v>115</v>
      </c>
      <c r="B731" s="53" t="s">
        <v>159</v>
      </c>
      <c r="C731" s="53" t="s">
        <v>151</v>
      </c>
      <c r="D731" s="54">
        <v>0.45000000000000029</v>
      </c>
    </row>
    <row r="732" spans="1:4" x14ac:dyDescent="0.25">
      <c r="A732" s="53" t="s">
        <v>115</v>
      </c>
      <c r="B732" s="53" t="s">
        <v>159</v>
      </c>
      <c r="C732" s="53" t="s">
        <v>153</v>
      </c>
      <c r="D732" s="54">
        <v>0.34000000000000019</v>
      </c>
    </row>
    <row r="733" spans="1:4" x14ac:dyDescent="0.25">
      <c r="A733" s="53" t="s">
        <v>115</v>
      </c>
      <c r="B733" s="53" t="s">
        <v>159</v>
      </c>
      <c r="C733" s="53" t="s">
        <v>134</v>
      </c>
      <c r="D733" s="54">
        <v>84.819000000000386</v>
      </c>
    </row>
    <row r="734" spans="1:4" x14ac:dyDescent="0.25">
      <c r="A734" s="53" t="s">
        <v>115</v>
      </c>
      <c r="B734" s="53" t="s">
        <v>159</v>
      </c>
      <c r="C734" s="53" t="s">
        <v>136</v>
      </c>
      <c r="D734" s="54">
        <v>5.6710000000000216</v>
      </c>
    </row>
    <row r="735" spans="1:4" x14ac:dyDescent="0.25">
      <c r="A735" s="53" t="s">
        <v>115</v>
      </c>
      <c r="B735" s="53" t="s">
        <v>159</v>
      </c>
      <c r="C735" s="53" t="s">
        <v>127</v>
      </c>
      <c r="D735" s="54">
        <v>12.467999999999639</v>
      </c>
    </row>
    <row r="736" spans="1:4" x14ac:dyDescent="0.25">
      <c r="A736" s="53" t="s">
        <v>115</v>
      </c>
      <c r="B736" s="53" t="s">
        <v>159</v>
      </c>
      <c r="C736" s="53" t="s">
        <v>160</v>
      </c>
      <c r="D736" s="54">
        <v>1.2999999999999999E-2</v>
      </c>
    </row>
    <row r="737" spans="1:4" x14ac:dyDescent="0.25">
      <c r="A737" s="53" t="s">
        <v>115</v>
      </c>
      <c r="B737" s="53" t="s">
        <v>159</v>
      </c>
      <c r="C737" s="53" t="s">
        <v>162</v>
      </c>
      <c r="D737" s="54">
        <v>0.60600000000000032</v>
      </c>
    </row>
    <row r="738" spans="1:4" x14ac:dyDescent="0.25">
      <c r="A738" s="53" t="s">
        <v>115</v>
      </c>
      <c r="B738" s="53" t="s">
        <v>159</v>
      </c>
      <c r="C738" s="53" t="s">
        <v>161</v>
      </c>
      <c r="D738" s="54">
        <v>0.89600000000000057</v>
      </c>
    </row>
    <row r="739" spans="1:4" x14ac:dyDescent="0.25">
      <c r="A739" s="53" t="s">
        <v>115</v>
      </c>
      <c r="B739" s="53" t="s">
        <v>159</v>
      </c>
      <c r="C739" s="53" t="s">
        <v>141</v>
      </c>
      <c r="D739" s="54">
        <v>0.1800000000000001</v>
      </c>
    </row>
    <row r="740" spans="1:4" x14ac:dyDescent="0.25">
      <c r="A740" s="53" t="s">
        <v>115</v>
      </c>
      <c r="B740" s="53" t="s">
        <v>159</v>
      </c>
      <c r="C740" s="53" t="s">
        <v>158</v>
      </c>
      <c r="D740" s="54">
        <v>5.3610000000000912</v>
      </c>
    </row>
    <row r="741" spans="1:4" x14ac:dyDescent="0.25">
      <c r="A741" s="53" t="s">
        <v>115</v>
      </c>
      <c r="B741" s="53" t="s">
        <v>159</v>
      </c>
      <c r="C741" s="53" t="s">
        <v>146</v>
      </c>
      <c r="D741" s="54">
        <v>16.913</v>
      </c>
    </row>
    <row r="742" spans="1:4" x14ac:dyDescent="0.25">
      <c r="A742" s="53" t="s">
        <v>115</v>
      </c>
      <c r="B742" s="53" t="s">
        <v>159</v>
      </c>
      <c r="C742" s="53" t="s">
        <v>140</v>
      </c>
      <c r="D742" s="54">
        <v>0.01</v>
      </c>
    </row>
    <row r="743" spans="1:4" x14ac:dyDescent="0.25">
      <c r="A743" s="53" t="s">
        <v>115</v>
      </c>
      <c r="B743" s="53" t="s">
        <v>159</v>
      </c>
      <c r="C743" s="53" t="s">
        <v>121</v>
      </c>
      <c r="D743" s="54">
        <v>8.3630000000000813</v>
      </c>
    </row>
    <row r="744" spans="1:4" x14ac:dyDescent="0.25">
      <c r="A744" s="53" t="s">
        <v>115</v>
      </c>
      <c r="B744" s="53" t="s">
        <v>159</v>
      </c>
      <c r="C744" s="53" t="s">
        <v>129</v>
      </c>
      <c r="D744" s="54">
        <v>7.2140000000001976</v>
      </c>
    </row>
    <row r="745" spans="1:4" x14ac:dyDescent="0.25">
      <c r="A745" s="53" t="s">
        <v>115</v>
      </c>
      <c r="B745" s="53" t="s">
        <v>159</v>
      </c>
      <c r="C745" s="53" t="s">
        <v>156</v>
      </c>
      <c r="D745" s="54">
        <v>1.137</v>
      </c>
    </row>
    <row r="746" spans="1:4" x14ac:dyDescent="0.25">
      <c r="A746" s="53" t="s">
        <v>115</v>
      </c>
      <c r="B746" s="53" t="s">
        <v>159</v>
      </c>
      <c r="C746" s="53" t="s">
        <v>137</v>
      </c>
      <c r="D746" s="54">
        <v>3.2000000000000008E-2</v>
      </c>
    </row>
    <row r="747" spans="1:4" x14ac:dyDescent="0.25">
      <c r="A747" s="53" t="s">
        <v>115</v>
      </c>
      <c r="B747" s="53" t="s">
        <v>159</v>
      </c>
      <c r="C747" s="53" t="s">
        <v>166</v>
      </c>
      <c r="D747" s="54">
        <v>5.0000000000000001E-3</v>
      </c>
    </row>
    <row r="748" spans="1:4" x14ac:dyDescent="0.25">
      <c r="A748" s="53" t="s">
        <v>115</v>
      </c>
      <c r="B748" s="53" t="s">
        <v>159</v>
      </c>
      <c r="C748" s="53" t="s">
        <v>135</v>
      </c>
      <c r="D748" s="54">
        <v>0.78300000000000058</v>
      </c>
    </row>
    <row r="749" spans="1:4" x14ac:dyDescent="0.25">
      <c r="A749" s="53" t="s">
        <v>115</v>
      </c>
      <c r="B749" s="53" t="s">
        <v>159</v>
      </c>
      <c r="C749" s="53" t="s">
        <v>124</v>
      </c>
      <c r="D749" s="54">
        <v>4.598999999999986</v>
      </c>
    </row>
    <row r="750" spans="1:4" x14ac:dyDescent="0.25">
      <c r="A750" s="53" t="s">
        <v>115</v>
      </c>
      <c r="B750" s="53" t="s">
        <v>159</v>
      </c>
      <c r="C750" s="53" t="s">
        <v>167</v>
      </c>
      <c r="D750" s="54">
        <v>1E-3</v>
      </c>
    </row>
    <row r="751" spans="1:4" x14ac:dyDescent="0.25">
      <c r="A751" s="53" t="s">
        <v>115</v>
      </c>
      <c r="B751" s="53" t="s">
        <v>159</v>
      </c>
      <c r="C751" s="53" t="s">
        <v>155</v>
      </c>
      <c r="D751" s="54">
        <v>0.58200000000000041</v>
      </c>
    </row>
    <row r="752" spans="1:4" x14ac:dyDescent="0.25">
      <c r="A752" s="53" t="s">
        <v>115</v>
      </c>
      <c r="B752" s="53" t="s">
        <v>159</v>
      </c>
      <c r="C752" s="53" t="s">
        <v>154</v>
      </c>
      <c r="D752" s="54">
        <v>13.95499999999997</v>
      </c>
    </row>
    <row r="753" spans="1:4" x14ac:dyDescent="0.25">
      <c r="A753" s="53" t="s">
        <v>115</v>
      </c>
      <c r="B753" s="53" t="s">
        <v>159</v>
      </c>
      <c r="C753" s="53" t="s">
        <v>143</v>
      </c>
      <c r="D753" s="54">
        <v>15.00100000000033</v>
      </c>
    </row>
    <row r="754" spans="1:4" x14ac:dyDescent="0.25">
      <c r="A754" s="53" t="s">
        <v>115</v>
      </c>
      <c r="B754" s="53" t="s">
        <v>159</v>
      </c>
      <c r="C754" s="53" t="s">
        <v>157</v>
      </c>
      <c r="D754" s="54">
        <v>2E-3</v>
      </c>
    </row>
    <row r="755" spans="1:4" x14ac:dyDescent="0.25">
      <c r="A755" s="53" t="s">
        <v>115</v>
      </c>
      <c r="B755" s="53" t="s">
        <v>159</v>
      </c>
      <c r="C755" s="53" t="s">
        <v>125</v>
      </c>
      <c r="D755" s="54">
        <v>27.80299999999998</v>
      </c>
    </row>
    <row r="756" spans="1:4" x14ac:dyDescent="0.25">
      <c r="A756" s="53" t="s">
        <v>115</v>
      </c>
      <c r="B756" s="53" t="s">
        <v>159</v>
      </c>
      <c r="C756" s="53" t="s">
        <v>122</v>
      </c>
      <c r="D756" s="54">
        <v>4.1339999999997961</v>
      </c>
    </row>
    <row r="757" spans="1:4" x14ac:dyDescent="0.25">
      <c r="A757" s="53" t="s">
        <v>115</v>
      </c>
      <c r="B757" s="53" t="s">
        <v>159</v>
      </c>
      <c r="C757" s="53" t="s">
        <v>152</v>
      </c>
      <c r="D757" s="54">
        <v>2.000999999999971</v>
      </c>
    </row>
    <row r="758" spans="1:4" x14ac:dyDescent="0.25">
      <c r="A758" s="53" t="s">
        <v>115</v>
      </c>
      <c r="B758" s="53" t="s">
        <v>159</v>
      </c>
      <c r="C758" s="53" t="s">
        <v>126</v>
      </c>
      <c r="D758" s="54">
        <v>89.656000000001896</v>
      </c>
    </row>
    <row r="759" spans="1:4" x14ac:dyDescent="0.25">
      <c r="A759" s="53" t="s">
        <v>115</v>
      </c>
      <c r="B759" s="53" t="s">
        <v>159</v>
      </c>
      <c r="C759" s="53" t="s">
        <v>165</v>
      </c>
      <c r="D759" s="54">
        <v>2E-3</v>
      </c>
    </row>
    <row r="760" spans="1:4" x14ac:dyDescent="0.25">
      <c r="A760" s="53" t="s">
        <v>115</v>
      </c>
      <c r="B760" s="53" t="s">
        <v>129</v>
      </c>
      <c r="C760" s="53" t="s">
        <v>119</v>
      </c>
      <c r="D760" s="54">
        <v>430.73299999999853</v>
      </c>
    </row>
    <row r="761" spans="1:4" x14ac:dyDescent="0.25">
      <c r="A761" s="53" t="s">
        <v>115</v>
      </c>
      <c r="B761" s="53" t="s">
        <v>129</v>
      </c>
      <c r="C761" s="53" t="s">
        <v>133</v>
      </c>
      <c r="D761" s="54">
        <v>1.7000000000000001E-2</v>
      </c>
    </row>
    <row r="762" spans="1:4" x14ac:dyDescent="0.25">
      <c r="A762" s="53" t="s">
        <v>115</v>
      </c>
      <c r="B762" s="53" t="s">
        <v>129</v>
      </c>
      <c r="C762" s="53" t="s">
        <v>130</v>
      </c>
      <c r="D762" s="54">
        <v>0.113</v>
      </c>
    </row>
    <row r="763" spans="1:4" x14ac:dyDescent="0.25">
      <c r="A763" s="53" t="s">
        <v>115</v>
      </c>
      <c r="B763" s="53" t="s">
        <v>129</v>
      </c>
      <c r="C763" s="53" t="s">
        <v>151</v>
      </c>
      <c r="D763" s="54">
        <v>3.0000000000000001E-3</v>
      </c>
    </row>
    <row r="764" spans="1:4" x14ac:dyDescent="0.25">
      <c r="A764" s="53" t="s">
        <v>115</v>
      </c>
      <c r="B764" s="53" t="s">
        <v>129</v>
      </c>
      <c r="C764" s="53" t="s">
        <v>153</v>
      </c>
      <c r="D764" s="54">
        <v>9.5000000000000015E-2</v>
      </c>
    </row>
    <row r="765" spans="1:4" x14ac:dyDescent="0.25">
      <c r="A765" s="53" t="s">
        <v>115</v>
      </c>
      <c r="B765" s="53" t="s">
        <v>129</v>
      </c>
      <c r="C765" s="53" t="s">
        <v>136</v>
      </c>
      <c r="D765" s="54">
        <v>49.812000000000161</v>
      </c>
    </row>
    <row r="766" spans="1:4" x14ac:dyDescent="0.25">
      <c r="A766" s="53" t="s">
        <v>115</v>
      </c>
      <c r="B766" s="53" t="s">
        <v>129</v>
      </c>
      <c r="C766" s="53" t="s">
        <v>127</v>
      </c>
      <c r="D766" s="54">
        <v>54.817000000000021</v>
      </c>
    </row>
    <row r="767" spans="1:4" x14ac:dyDescent="0.25">
      <c r="A767" s="53" t="s">
        <v>115</v>
      </c>
      <c r="B767" s="53" t="s">
        <v>129</v>
      </c>
      <c r="C767" s="53" t="s">
        <v>164</v>
      </c>
      <c r="D767" s="54">
        <v>2.7779999999999849</v>
      </c>
    </row>
    <row r="768" spans="1:4" x14ac:dyDescent="0.25">
      <c r="A768" s="53" t="s">
        <v>115</v>
      </c>
      <c r="B768" s="53" t="s">
        <v>129</v>
      </c>
      <c r="C768" s="53" t="s">
        <v>140</v>
      </c>
      <c r="D768" s="54">
        <v>80.621000000000933</v>
      </c>
    </row>
    <row r="769" spans="1:4" x14ac:dyDescent="0.25">
      <c r="A769" s="53" t="s">
        <v>115</v>
      </c>
      <c r="B769" s="53" t="s">
        <v>129</v>
      </c>
      <c r="C769" s="53" t="s">
        <v>121</v>
      </c>
      <c r="D769" s="54">
        <v>0.50200000000000033</v>
      </c>
    </row>
    <row r="770" spans="1:4" x14ac:dyDescent="0.25">
      <c r="A770" s="53" t="s">
        <v>115</v>
      </c>
      <c r="B770" s="53" t="s">
        <v>129</v>
      </c>
      <c r="C770" s="53" t="s">
        <v>156</v>
      </c>
      <c r="D770" s="54">
        <v>0.51600000000000035</v>
      </c>
    </row>
    <row r="771" spans="1:4" x14ac:dyDescent="0.25">
      <c r="A771" s="53" t="s">
        <v>115</v>
      </c>
      <c r="B771" s="53" t="s">
        <v>129</v>
      </c>
      <c r="C771" s="53" t="s">
        <v>135</v>
      </c>
      <c r="D771" s="54">
        <v>2.1649999999999991</v>
      </c>
    </row>
    <row r="772" spans="1:4" x14ac:dyDescent="0.25">
      <c r="A772" s="53" t="s">
        <v>115</v>
      </c>
      <c r="B772" s="53" t="s">
        <v>129</v>
      </c>
      <c r="C772" s="53" t="s">
        <v>124</v>
      </c>
      <c r="D772" s="54">
        <v>841.60099999998238</v>
      </c>
    </row>
    <row r="773" spans="1:4" x14ac:dyDescent="0.25">
      <c r="A773" s="53" t="s">
        <v>115</v>
      </c>
      <c r="B773" s="53" t="s">
        <v>129</v>
      </c>
      <c r="C773" s="53" t="s">
        <v>155</v>
      </c>
      <c r="D773" s="54">
        <v>0.02</v>
      </c>
    </row>
    <row r="774" spans="1:4" x14ac:dyDescent="0.25">
      <c r="A774" s="53" t="s">
        <v>115</v>
      </c>
      <c r="B774" s="53" t="s">
        <v>129</v>
      </c>
      <c r="C774" s="53" t="s">
        <v>143</v>
      </c>
      <c r="D774" s="54">
        <v>3.284999999999985</v>
      </c>
    </row>
    <row r="775" spans="1:4" x14ac:dyDescent="0.25">
      <c r="A775" s="53" t="s">
        <v>115</v>
      </c>
      <c r="B775" s="53" t="s">
        <v>129</v>
      </c>
      <c r="C775" s="53" t="s">
        <v>122</v>
      </c>
      <c r="D775" s="54">
        <v>9.2519999999999953</v>
      </c>
    </row>
    <row r="776" spans="1:4" x14ac:dyDescent="0.25">
      <c r="A776" s="53" t="s">
        <v>115</v>
      </c>
      <c r="B776" s="53" t="s">
        <v>129</v>
      </c>
      <c r="C776" s="53" t="s">
        <v>131</v>
      </c>
      <c r="D776" s="54">
        <v>107.70100000000269</v>
      </c>
    </row>
    <row r="777" spans="1:4" x14ac:dyDescent="0.25">
      <c r="A777" s="53" t="s">
        <v>115</v>
      </c>
      <c r="B777" s="53" t="s">
        <v>128</v>
      </c>
      <c r="C777" s="53" t="s">
        <v>120</v>
      </c>
      <c r="D777" s="54">
        <v>401.37499999999949</v>
      </c>
    </row>
    <row r="778" spans="1:4" x14ac:dyDescent="0.25">
      <c r="A778" s="53" t="s">
        <v>115</v>
      </c>
      <c r="B778" s="53" t="s">
        <v>128</v>
      </c>
      <c r="C778" s="53" t="s">
        <v>142</v>
      </c>
      <c r="D778" s="54">
        <v>7.2049999999999583</v>
      </c>
    </row>
    <row r="779" spans="1:4" x14ac:dyDescent="0.25">
      <c r="A779" s="53" t="s">
        <v>115</v>
      </c>
      <c r="B779" s="53" t="s">
        <v>128</v>
      </c>
      <c r="C779" s="53" t="s">
        <v>145</v>
      </c>
      <c r="D779" s="54">
        <v>1.779999999999998</v>
      </c>
    </row>
    <row r="780" spans="1:4" x14ac:dyDescent="0.25">
      <c r="A780" s="53" t="s">
        <v>115</v>
      </c>
      <c r="B780" s="53" t="s">
        <v>128</v>
      </c>
      <c r="C780" s="53" t="s">
        <v>119</v>
      </c>
      <c r="D780" s="54">
        <v>253.44200000000001</v>
      </c>
    </row>
    <row r="781" spans="1:4" x14ac:dyDescent="0.25">
      <c r="A781" s="53" t="s">
        <v>115</v>
      </c>
      <c r="B781" s="53" t="s">
        <v>128</v>
      </c>
      <c r="C781" s="53" t="s">
        <v>133</v>
      </c>
      <c r="D781" s="54">
        <v>446.05499999999591</v>
      </c>
    </row>
    <row r="782" spans="1:4" x14ac:dyDescent="0.25">
      <c r="A782" s="53" t="s">
        <v>115</v>
      </c>
      <c r="B782" s="53" t="s">
        <v>128</v>
      </c>
      <c r="C782" s="53" t="s">
        <v>130</v>
      </c>
      <c r="D782" s="54">
        <v>851.64399999999046</v>
      </c>
    </row>
    <row r="783" spans="1:4" x14ac:dyDescent="0.25">
      <c r="A783" s="53" t="s">
        <v>115</v>
      </c>
      <c r="B783" s="53" t="s">
        <v>128</v>
      </c>
      <c r="C783" s="53" t="s">
        <v>151</v>
      </c>
      <c r="D783" s="54">
        <v>2.9739999999999638</v>
      </c>
    </row>
    <row r="784" spans="1:4" x14ac:dyDescent="0.25">
      <c r="A784" s="53" t="s">
        <v>115</v>
      </c>
      <c r="B784" s="53" t="s">
        <v>128</v>
      </c>
      <c r="C784" s="53" t="s">
        <v>153</v>
      </c>
      <c r="D784" s="54">
        <v>1.94599999999997</v>
      </c>
    </row>
    <row r="785" spans="1:4" x14ac:dyDescent="0.25">
      <c r="A785" s="53" t="s">
        <v>115</v>
      </c>
      <c r="B785" s="53" t="s">
        <v>128</v>
      </c>
      <c r="C785" s="53" t="s">
        <v>134</v>
      </c>
      <c r="D785" s="54">
        <v>99.075000000000045</v>
      </c>
    </row>
    <row r="786" spans="1:4" x14ac:dyDescent="0.25">
      <c r="A786" s="53" t="s">
        <v>115</v>
      </c>
      <c r="B786" s="53" t="s">
        <v>128</v>
      </c>
      <c r="C786" s="53" t="s">
        <v>136</v>
      </c>
      <c r="D786" s="54">
        <v>266.79599999999999</v>
      </c>
    </row>
    <row r="787" spans="1:4" x14ac:dyDescent="0.25">
      <c r="A787" s="53" t="s">
        <v>115</v>
      </c>
      <c r="B787" s="53" t="s">
        <v>128</v>
      </c>
      <c r="C787" s="53" t="s">
        <v>127</v>
      </c>
      <c r="D787" s="54">
        <v>2224.4749999999972</v>
      </c>
    </row>
    <row r="788" spans="1:4" x14ac:dyDescent="0.25">
      <c r="A788" s="53" t="s">
        <v>115</v>
      </c>
      <c r="B788" s="53" t="s">
        <v>128</v>
      </c>
      <c r="C788" s="53" t="s">
        <v>160</v>
      </c>
      <c r="D788" s="54">
        <v>0.1720000000000001</v>
      </c>
    </row>
    <row r="789" spans="1:4" x14ac:dyDescent="0.25">
      <c r="A789" s="53" t="s">
        <v>115</v>
      </c>
      <c r="B789" s="53" t="s">
        <v>128</v>
      </c>
      <c r="C789" s="53" t="s">
        <v>162</v>
      </c>
      <c r="D789" s="54">
        <v>1.3039999999999909</v>
      </c>
    </row>
    <row r="790" spans="1:4" x14ac:dyDescent="0.25">
      <c r="A790" s="53" t="s">
        <v>115</v>
      </c>
      <c r="B790" s="53" t="s">
        <v>128</v>
      </c>
      <c r="C790" s="53" t="s">
        <v>161</v>
      </c>
      <c r="D790" s="54">
        <v>5.6429999999999669</v>
      </c>
    </row>
    <row r="791" spans="1:4" x14ac:dyDescent="0.25">
      <c r="A791" s="53" t="s">
        <v>115</v>
      </c>
      <c r="B791" s="53" t="s">
        <v>128</v>
      </c>
      <c r="C791" s="53" t="s">
        <v>164</v>
      </c>
      <c r="D791" s="54">
        <v>0.37500000000000022</v>
      </c>
    </row>
    <row r="792" spans="1:4" x14ac:dyDescent="0.25">
      <c r="A792" s="53" t="s">
        <v>115</v>
      </c>
      <c r="B792" s="53" t="s">
        <v>128</v>
      </c>
      <c r="C792" s="53" t="s">
        <v>158</v>
      </c>
      <c r="D792" s="54">
        <v>10.46699999999999</v>
      </c>
    </row>
    <row r="793" spans="1:4" x14ac:dyDescent="0.25">
      <c r="A793" s="53" t="s">
        <v>115</v>
      </c>
      <c r="B793" s="53" t="s">
        <v>128</v>
      </c>
      <c r="C793" s="53" t="s">
        <v>146</v>
      </c>
      <c r="D793" s="54">
        <v>31.10900000000068</v>
      </c>
    </row>
    <row r="794" spans="1:4" x14ac:dyDescent="0.25">
      <c r="A794" s="53" t="s">
        <v>115</v>
      </c>
      <c r="B794" s="53" t="s">
        <v>128</v>
      </c>
      <c r="C794" s="53" t="s">
        <v>140</v>
      </c>
      <c r="D794" s="54">
        <v>44.670000000000023</v>
      </c>
    </row>
    <row r="795" spans="1:4" x14ac:dyDescent="0.25">
      <c r="A795" s="53" t="s">
        <v>115</v>
      </c>
      <c r="B795" s="53" t="s">
        <v>128</v>
      </c>
      <c r="C795" s="53" t="s">
        <v>121</v>
      </c>
      <c r="D795" s="54">
        <v>75.024000000000754</v>
      </c>
    </row>
    <row r="796" spans="1:4" x14ac:dyDescent="0.25">
      <c r="A796" s="53" t="s">
        <v>115</v>
      </c>
      <c r="B796" s="53" t="s">
        <v>128</v>
      </c>
      <c r="C796" s="53" t="s">
        <v>129</v>
      </c>
      <c r="D796" s="54">
        <v>6.4039999999999981</v>
      </c>
    </row>
    <row r="797" spans="1:4" x14ac:dyDescent="0.25">
      <c r="A797" s="53" t="s">
        <v>115</v>
      </c>
      <c r="B797" s="53" t="s">
        <v>128</v>
      </c>
      <c r="C797" s="53" t="s">
        <v>156</v>
      </c>
      <c r="D797" s="54">
        <v>4.8449999999999704</v>
      </c>
    </row>
    <row r="798" spans="1:4" x14ac:dyDescent="0.25">
      <c r="A798" s="53" t="s">
        <v>115</v>
      </c>
      <c r="B798" s="53" t="s">
        <v>128</v>
      </c>
      <c r="C798" s="53" t="s">
        <v>137</v>
      </c>
      <c r="D798" s="54">
        <v>0.108</v>
      </c>
    </row>
    <row r="799" spans="1:4" x14ac:dyDescent="0.25">
      <c r="A799" s="53" t="s">
        <v>115</v>
      </c>
      <c r="B799" s="53" t="s">
        <v>128</v>
      </c>
      <c r="C799" s="53" t="s">
        <v>139</v>
      </c>
      <c r="D799" s="54">
        <v>1.8000000000000009E-2</v>
      </c>
    </row>
    <row r="800" spans="1:4" x14ac:dyDescent="0.25">
      <c r="A800" s="53" t="s">
        <v>115</v>
      </c>
      <c r="B800" s="53" t="s">
        <v>128</v>
      </c>
      <c r="C800" s="53" t="s">
        <v>166</v>
      </c>
      <c r="D800" s="54">
        <v>2.1000000000000012E-2</v>
      </c>
    </row>
    <row r="801" spans="1:4" x14ac:dyDescent="0.25">
      <c r="A801" s="53" t="s">
        <v>115</v>
      </c>
      <c r="B801" s="53" t="s">
        <v>128</v>
      </c>
      <c r="C801" s="53" t="s">
        <v>135</v>
      </c>
      <c r="D801" s="54">
        <v>357.30199999999962</v>
      </c>
    </row>
    <row r="802" spans="1:4" x14ac:dyDescent="0.25">
      <c r="A802" s="53" t="s">
        <v>115</v>
      </c>
      <c r="B802" s="53" t="s">
        <v>128</v>
      </c>
      <c r="C802" s="53" t="s">
        <v>124</v>
      </c>
      <c r="D802" s="54">
        <v>223.6989999999999</v>
      </c>
    </row>
    <row r="803" spans="1:4" x14ac:dyDescent="0.25">
      <c r="A803" s="53" t="s">
        <v>115</v>
      </c>
      <c r="B803" s="53" t="s">
        <v>128</v>
      </c>
      <c r="C803" s="53" t="s">
        <v>167</v>
      </c>
      <c r="D803" s="54">
        <v>1E-3</v>
      </c>
    </row>
    <row r="804" spans="1:4" x14ac:dyDescent="0.25">
      <c r="A804" s="53" t="s">
        <v>115</v>
      </c>
      <c r="B804" s="53" t="s">
        <v>128</v>
      </c>
      <c r="C804" s="53" t="s">
        <v>155</v>
      </c>
      <c r="D804" s="54">
        <v>11.167999999999941</v>
      </c>
    </row>
    <row r="805" spans="1:4" x14ac:dyDescent="0.25">
      <c r="A805" s="53" t="s">
        <v>115</v>
      </c>
      <c r="B805" s="53" t="s">
        <v>128</v>
      </c>
      <c r="C805" s="53" t="s">
        <v>154</v>
      </c>
      <c r="D805" s="54">
        <v>8.9539999999999669</v>
      </c>
    </row>
    <row r="806" spans="1:4" x14ac:dyDescent="0.25">
      <c r="A806" s="53" t="s">
        <v>115</v>
      </c>
      <c r="B806" s="53" t="s">
        <v>128</v>
      </c>
      <c r="C806" s="53" t="s">
        <v>143</v>
      </c>
      <c r="D806" s="54">
        <v>61.838999999997917</v>
      </c>
    </row>
    <row r="807" spans="1:4" x14ac:dyDescent="0.25">
      <c r="A807" s="53" t="s">
        <v>115</v>
      </c>
      <c r="B807" s="53" t="s">
        <v>128</v>
      </c>
      <c r="C807" s="53" t="s">
        <v>122</v>
      </c>
      <c r="D807" s="54">
        <v>457.21799999999848</v>
      </c>
    </row>
    <row r="808" spans="1:4" x14ac:dyDescent="0.25">
      <c r="A808" s="53" t="s">
        <v>115</v>
      </c>
      <c r="B808" s="53" t="s">
        <v>128</v>
      </c>
      <c r="C808" s="53" t="s">
        <v>152</v>
      </c>
      <c r="D808" s="54">
        <v>24.616000000000192</v>
      </c>
    </row>
    <row r="809" spans="1:4" x14ac:dyDescent="0.25">
      <c r="A809" s="53" t="s">
        <v>115</v>
      </c>
      <c r="B809" s="53" t="s">
        <v>128</v>
      </c>
      <c r="C809" s="53" t="s">
        <v>126</v>
      </c>
      <c r="D809" s="54">
        <v>263.21599999999899</v>
      </c>
    </row>
    <row r="810" spans="1:4" x14ac:dyDescent="0.25">
      <c r="A810" s="53" t="s">
        <v>115</v>
      </c>
      <c r="B810" s="53" t="s">
        <v>128</v>
      </c>
      <c r="C810" s="53" t="s">
        <v>131</v>
      </c>
      <c r="D810" s="54">
        <v>74.530000000000413</v>
      </c>
    </row>
    <row r="811" spans="1:4" x14ac:dyDescent="0.25">
      <c r="A811" s="53" t="s">
        <v>115</v>
      </c>
      <c r="B811" s="53" t="s">
        <v>128</v>
      </c>
      <c r="C811" s="53" t="s">
        <v>165</v>
      </c>
      <c r="D811" s="54">
        <v>7.4000000000000052E-2</v>
      </c>
    </row>
    <row r="812" spans="1:4" x14ac:dyDescent="0.25">
      <c r="A812" s="53" t="s">
        <v>115</v>
      </c>
      <c r="B812" s="53" t="s">
        <v>128</v>
      </c>
      <c r="C812" s="53" t="s">
        <v>168</v>
      </c>
      <c r="D812" s="54">
        <v>4.0000000000000001E-3</v>
      </c>
    </row>
    <row r="813" spans="1:4" x14ac:dyDescent="0.25">
      <c r="A813" s="53" t="s">
        <v>115</v>
      </c>
      <c r="B813" s="53" t="s">
        <v>156</v>
      </c>
      <c r="C813" s="53" t="s">
        <v>120</v>
      </c>
      <c r="D813" s="54">
        <v>0.155</v>
      </c>
    </row>
    <row r="814" spans="1:4" x14ac:dyDescent="0.25">
      <c r="A814" s="53" t="s">
        <v>115</v>
      </c>
      <c r="B814" s="53" t="s">
        <v>156</v>
      </c>
      <c r="C814" s="53" t="s">
        <v>119</v>
      </c>
      <c r="D814" s="54">
        <v>1.3079999999999989</v>
      </c>
    </row>
    <row r="815" spans="1:4" x14ac:dyDescent="0.25">
      <c r="A815" s="53" t="s">
        <v>115</v>
      </c>
      <c r="B815" s="53" t="s">
        <v>156</v>
      </c>
      <c r="C815" s="53" t="s">
        <v>136</v>
      </c>
      <c r="D815" s="54">
        <v>4.5049999999999999</v>
      </c>
    </row>
    <row r="816" spans="1:4" x14ac:dyDescent="0.25">
      <c r="A816" s="53" t="s">
        <v>115</v>
      </c>
      <c r="B816" s="53" t="s">
        <v>156</v>
      </c>
      <c r="C816" s="53" t="s">
        <v>127</v>
      </c>
      <c r="D816" s="54">
        <v>1.304</v>
      </c>
    </row>
    <row r="817" spans="1:4" x14ac:dyDescent="0.25">
      <c r="A817" s="53" t="s">
        <v>115</v>
      </c>
      <c r="B817" s="53" t="s">
        <v>156</v>
      </c>
      <c r="C817" s="53" t="s">
        <v>158</v>
      </c>
      <c r="D817" s="54">
        <v>6.0000000000000001E-3</v>
      </c>
    </row>
    <row r="818" spans="1:4" x14ac:dyDescent="0.25">
      <c r="A818" s="53" t="s">
        <v>115</v>
      </c>
      <c r="B818" s="53" t="s">
        <v>156</v>
      </c>
      <c r="C818" s="53" t="s">
        <v>129</v>
      </c>
      <c r="D818" s="54">
        <v>2.5000000000000001E-2</v>
      </c>
    </row>
    <row r="819" spans="1:4" x14ac:dyDescent="0.25">
      <c r="A819" s="53" t="s">
        <v>115</v>
      </c>
      <c r="B819" s="53" t="s">
        <v>156</v>
      </c>
      <c r="C819" s="53" t="s">
        <v>137</v>
      </c>
      <c r="D819" s="54">
        <v>1E-3</v>
      </c>
    </row>
    <row r="820" spans="1:4" x14ac:dyDescent="0.25">
      <c r="A820" s="53" t="s">
        <v>115</v>
      </c>
      <c r="B820" s="53" t="s">
        <v>156</v>
      </c>
      <c r="C820" s="53" t="s">
        <v>124</v>
      </c>
      <c r="D820" s="54">
        <v>3.1369999999999991</v>
      </c>
    </row>
    <row r="821" spans="1:4" x14ac:dyDescent="0.25">
      <c r="A821" s="53" t="s">
        <v>115</v>
      </c>
      <c r="B821" s="53" t="s">
        <v>156</v>
      </c>
      <c r="C821" s="53" t="s">
        <v>125</v>
      </c>
      <c r="D821" s="54">
        <v>4.3560000000000008</v>
      </c>
    </row>
    <row r="822" spans="1:4" x14ac:dyDescent="0.25">
      <c r="A822" s="53" t="s">
        <v>115</v>
      </c>
      <c r="B822" s="53" t="s">
        <v>156</v>
      </c>
      <c r="C822" s="53" t="s">
        <v>122</v>
      </c>
      <c r="D822" s="54">
        <v>1E-3</v>
      </c>
    </row>
    <row r="823" spans="1:4" x14ac:dyDescent="0.25">
      <c r="A823" s="53" t="s">
        <v>115</v>
      </c>
      <c r="B823" s="53" t="s">
        <v>156</v>
      </c>
      <c r="C823" s="53" t="s">
        <v>126</v>
      </c>
      <c r="D823" s="54">
        <v>0.18200000000000011</v>
      </c>
    </row>
    <row r="824" spans="1:4" x14ac:dyDescent="0.25">
      <c r="A824" s="53" t="s">
        <v>115</v>
      </c>
      <c r="B824" s="53" t="s">
        <v>137</v>
      </c>
      <c r="C824" s="53" t="s">
        <v>120</v>
      </c>
      <c r="D824" s="54">
        <v>0.27100000000000002</v>
      </c>
    </row>
    <row r="825" spans="1:4" x14ac:dyDescent="0.25">
      <c r="A825" s="53" t="s">
        <v>115</v>
      </c>
      <c r="B825" s="53" t="s">
        <v>137</v>
      </c>
      <c r="C825" s="53" t="s">
        <v>119</v>
      </c>
      <c r="D825" s="54">
        <v>166.33999999999969</v>
      </c>
    </row>
    <row r="826" spans="1:4" x14ac:dyDescent="0.25">
      <c r="A826" s="53" t="s">
        <v>115</v>
      </c>
      <c r="B826" s="53" t="s">
        <v>137</v>
      </c>
      <c r="C826" s="53" t="s">
        <v>133</v>
      </c>
      <c r="D826" s="54">
        <v>2.4E-2</v>
      </c>
    </row>
    <row r="827" spans="1:4" x14ac:dyDescent="0.25">
      <c r="A827" s="53" t="s">
        <v>115</v>
      </c>
      <c r="B827" s="53" t="s">
        <v>137</v>
      </c>
      <c r="C827" s="53" t="s">
        <v>153</v>
      </c>
      <c r="D827" s="54">
        <v>0.55400000000000027</v>
      </c>
    </row>
    <row r="828" spans="1:4" x14ac:dyDescent="0.25">
      <c r="A828" s="53" t="s">
        <v>115</v>
      </c>
      <c r="B828" s="53" t="s">
        <v>137</v>
      </c>
      <c r="C828" s="53" t="s">
        <v>136</v>
      </c>
      <c r="D828" s="54">
        <v>28.152000000000012</v>
      </c>
    </row>
    <row r="829" spans="1:4" x14ac:dyDescent="0.25">
      <c r="A829" s="53" t="s">
        <v>115</v>
      </c>
      <c r="B829" s="53" t="s">
        <v>137</v>
      </c>
      <c r="C829" s="53" t="s">
        <v>127</v>
      </c>
      <c r="D829" s="54">
        <v>390.82499999999987</v>
      </c>
    </row>
    <row r="830" spans="1:4" x14ac:dyDescent="0.25">
      <c r="A830" s="53" t="s">
        <v>115</v>
      </c>
      <c r="B830" s="53" t="s">
        <v>137</v>
      </c>
      <c r="C830" s="53" t="s">
        <v>164</v>
      </c>
      <c r="D830" s="54">
        <v>0.12100000000000009</v>
      </c>
    </row>
    <row r="831" spans="1:4" x14ac:dyDescent="0.25">
      <c r="A831" s="53" t="s">
        <v>115</v>
      </c>
      <c r="B831" s="53" t="s">
        <v>137</v>
      </c>
      <c r="C831" s="53" t="s">
        <v>140</v>
      </c>
      <c r="D831" s="54">
        <v>13.99699999999995</v>
      </c>
    </row>
    <row r="832" spans="1:4" x14ac:dyDescent="0.25">
      <c r="A832" s="53" t="s">
        <v>115</v>
      </c>
      <c r="B832" s="53" t="s">
        <v>137</v>
      </c>
      <c r="C832" s="53" t="s">
        <v>121</v>
      </c>
      <c r="D832" s="54">
        <v>1.1249999999999969</v>
      </c>
    </row>
    <row r="833" spans="1:4" x14ac:dyDescent="0.25">
      <c r="A833" s="53" t="s">
        <v>115</v>
      </c>
      <c r="B833" s="53" t="s">
        <v>137</v>
      </c>
      <c r="C833" s="53" t="s">
        <v>156</v>
      </c>
      <c r="D833" s="54">
        <v>0.91000000000000059</v>
      </c>
    </row>
    <row r="834" spans="1:4" x14ac:dyDescent="0.25">
      <c r="A834" s="53" t="s">
        <v>115</v>
      </c>
      <c r="B834" s="53" t="s">
        <v>137</v>
      </c>
      <c r="C834" s="53" t="s">
        <v>139</v>
      </c>
      <c r="D834" s="54">
        <v>1.2E-2</v>
      </c>
    </row>
    <row r="835" spans="1:4" x14ac:dyDescent="0.25">
      <c r="A835" s="53" t="s">
        <v>115</v>
      </c>
      <c r="B835" s="53" t="s">
        <v>137</v>
      </c>
      <c r="C835" s="53" t="s">
        <v>135</v>
      </c>
      <c r="D835" s="54">
        <v>96.918000000000049</v>
      </c>
    </row>
    <row r="836" spans="1:4" x14ac:dyDescent="0.25">
      <c r="A836" s="53" t="s">
        <v>115</v>
      </c>
      <c r="B836" s="53" t="s">
        <v>137</v>
      </c>
      <c r="C836" s="53" t="s">
        <v>124</v>
      </c>
      <c r="D836" s="54">
        <v>293.51899999999779</v>
      </c>
    </row>
    <row r="837" spans="1:4" x14ac:dyDescent="0.25">
      <c r="A837" s="53" t="s">
        <v>115</v>
      </c>
      <c r="B837" s="53" t="s">
        <v>137</v>
      </c>
      <c r="C837" s="53" t="s">
        <v>155</v>
      </c>
      <c r="D837" s="54">
        <v>0.4600000000000003</v>
      </c>
    </row>
    <row r="838" spans="1:4" x14ac:dyDescent="0.25">
      <c r="A838" s="53" t="s">
        <v>115</v>
      </c>
      <c r="B838" s="53" t="s">
        <v>137</v>
      </c>
      <c r="C838" s="53" t="s">
        <v>122</v>
      </c>
      <c r="D838" s="54">
        <v>414.67199999999832</v>
      </c>
    </row>
    <row r="839" spans="1:4" x14ac:dyDescent="0.25">
      <c r="A839" s="53" t="s">
        <v>115</v>
      </c>
      <c r="B839" s="53" t="s">
        <v>137</v>
      </c>
      <c r="C839" s="53" t="s">
        <v>131</v>
      </c>
      <c r="D839" s="54">
        <v>35.191000000000187</v>
      </c>
    </row>
    <row r="840" spans="1:4" x14ac:dyDescent="0.25">
      <c r="A840" s="53" t="s">
        <v>115</v>
      </c>
      <c r="B840" s="53" t="s">
        <v>172</v>
      </c>
      <c r="C840" s="53" t="s">
        <v>120</v>
      </c>
      <c r="D840" s="54">
        <v>2.4000000000000011E-2</v>
      </c>
    </row>
    <row r="841" spans="1:4" x14ac:dyDescent="0.25">
      <c r="A841" s="53" t="s">
        <v>115</v>
      </c>
      <c r="B841" s="53" t="s">
        <v>172</v>
      </c>
      <c r="C841" s="53" t="s">
        <v>145</v>
      </c>
      <c r="D841" s="54">
        <v>0.39900000000000002</v>
      </c>
    </row>
    <row r="842" spans="1:4" x14ac:dyDescent="0.25">
      <c r="A842" s="53" t="s">
        <v>115</v>
      </c>
      <c r="B842" s="53" t="s">
        <v>172</v>
      </c>
      <c r="C842" s="53" t="s">
        <v>119</v>
      </c>
      <c r="D842" s="54">
        <v>2E-3</v>
      </c>
    </row>
    <row r="843" spans="1:4" x14ac:dyDescent="0.25">
      <c r="A843" s="53" t="s">
        <v>115</v>
      </c>
      <c r="B843" s="53" t="s">
        <v>172</v>
      </c>
      <c r="C843" s="53" t="s">
        <v>134</v>
      </c>
      <c r="D843" s="54">
        <v>3.609999999999995</v>
      </c>
    </row>
    <row r="844" spans="1:4" x14ac:dyDescent="0.25">
      <c r="A844" s="53" t="s">
        <v>115</v>
      </c>
      <c r="B844" s="53" t="s">
        <v>172</v>
      </c>
      <c r="C844" s="53" t="s">
        <v>136</v>
      </c>
      <c r="D844" s="54">
        <v>2E-3</v>
      </c>
    </row>
    <row r="845" spans="1:4" x14ac:dyDescent="0.25">
      <c r="A845" s="53" t="s">
        <v>115</v>
      </c>
      <c r="B845" s="53" t="s">
        <v>172</v>
      </c>
      <c r="C845" s="53" t="s">
        <v>127</v>
      </c>
      <c r="D845" s="54">
        <v>5.0000000000000001E-3</v>
      </c>
    </row>
    <row r="846" spans="1:4" x14ac:dyDescent="0.25">
      <c r="A846" s="53" t="s">
        <v>115</v>
      </c>
      <c r="B846" s="53" t="s">
        <v>172</v>
      </c>
      <c r="C846" s="53" t="s">
        <v>129</v>
      </c>
      <c r="D846" s="54">
        <v>0.378</v>
      </c>
    </row>
    <row r="847" spans="1:4" x14ac:dyDescent="0.25">
      <c r="A847" s="53" t="s">
        <v>115</v>
      </c>
      <c r="B847" s="53" t="s">
        <v>172</v>
      </c>
      <c r="C847" s="53" t="s">
        <v>124</v>
      </c>
      <c r="D847" s="54">
        <v>0.19800000000000009</v>
      </c>
    </row>
    <row r="848" spans="1:4" x14ac:dyDescent="0.25">
      <c r="A848" s="53" t="s">
        <v>115</v>
      </c>
      <c r="B848" s="53" t="s">
        <v>172</v>
      </c>
      <c r="C848" s="53" t="s">
        <v>143</v>
      </c>
      <c r="D848" s="54">
        <v>2E-3</v>
      </c>
    </row>
    <row r="849" spans="1:4" x14ac:dyDescent="0.25">
      <c r="A849" s="53" t="s">
        <v>115</v>
      </c>
      <c r="B849" s="53" t="s">
        <v>172</v>
      </c>
      <c r="C849" s="53" t="s">
        <v>125</v>
      </c>
      <c r="D849" s="54">
        <v>1.0860000000000001</v>
      </c>
    </row>
    <row r="850" spans="1:4" x14ac:dyDescent="0.25">
      <c r="A850" s="53" t="s">
        <v>115</v>
      </c>
      <c r="B850" s="53" t="s">
        <v>172</v>
      </c>
      <c r="C850" s="53" t="s">
        <v>122</v>
      </c>
      <c r="D850" s="54">
        <v>1E-3</v>
      </c>
    </row>
    <row r="851" spans="1:4" x14ac:dyDescent="0.25">
      <c r="A851" s="53" t="s">
        <v>115</v>
      </c>
      <c r="B851" s="53" t="s">
        <v>172</v>
      </c>
      <c r="C851" s="53" t="s">
        <v>126</v>
      </c>
      <c r="D851" s="54">
        <v>0.90400000000000014</v>
      </c>
    </row>
    <row r="852" spans="1:4" x14ac:dyDescent="0.25">
      <c r="A852" s="53" t="s">
        <v>115</v>
      </c>
      <c r="B852" s="53" t="s">
        <v>139</v>
      </c>
      <c r="C852" s="53" t="s">
        <v>120</v>
      </c>
      <c r="D852" s="54">
        <v>155.73700000000019</v>
      </c>
    </row>
    <row r="853" spans="1:4" x14ac:dyDescent="0.25">
      <c r="A853" s="53" t="s">
        <v>115</v>
      </c>
      <c r="B853" s="53" t="s">
        <v>139</v>
      </c>
      <c r="C853" s="53" t="s">
        <v>142</v>
      </c>
      <c r="D853" s="54">
        <v>0.63400000000000045</v>
      </c>
    </row>
    <row r="854" spans="1:4" x14ac:dyDescent="0.25">
      <c r="A854" s="53" t="s">
        <v>115</v>
      </c>
      <c r="B854" s="53" t="s">
        <v>139</v>
      </c>
      <c r="C854" s="53" t="s">
        <v>119</v>
      </c>
      <c r="D854" s="54">
        <v>20.707999999999998</v>
      </c>
    </row>
    <row r="855" spans="1:4" x14ac:dyDescent="0.25">
      <c r="A855" s="53" t="s">
        <v>115</v>
      </c>
      <c r="B855" s="53" t="s">
        <v>139</v>
      </c>
      <c r="C855" s="53" t="s">
        <v>133</v>
      </c>
      <c r="D855" s="54">
        <v>20.839999999999989</v>
      </c>
    </row>
    <row r="856" spans="1:4" x14ac:dyDescent="0.25">
      <c r="A856" s="53" t="s">
        <v>115</v>
      </c>
      <c r="B856" s="53" t="s">
        <v>139</v>
      </c>
      <c r="C856" s="53" t="s">
        <v>130</v>
      </c>
      <c r="D856" s="54">
        <v>63.219000000000008</v>
      </c>
    </row>
    <row r="857" spans="1:4" x14ac:dyDescent="0.25">
      <c r="A857" s="53" t="s">
        <v>115</v>
      </c>
      <c r="B857" s="53" t="s">
        <v>139</v>
      </c>
      <c r="C857" s="53" t="s">
        <v>134</v>
      </c>
      <c r="D857" s="54">
        <v>1.448</v>
      </c>
    </row>
    <row r="858" spans="1:4" x14ac:dyDescent="0.25">
      <c r="A858" s="53" t="s">
        <v>115</v>
      </c>
      <c r="B858" s="53" t="s">
        <v>139</v>
      </c>
      <c r="C858" s="53" t="s">
        <v>136</v>
      </c>
      <c r="D858" s="54">
        <v>142.24299999999999</v>
      </c>
    </row>
    <row r="859" spans="1:4" x14ac:dyDescent="0.25">
      <c r="A859" s="53" t="s">
        <v>115</v>
      </c>
      <c r="B859" s="53" t="s">
        <v>139</v>
      </c>
      <c r="C859" s="53" t="s">
        <v>127</v>
      </c>
      <c r="D859" s="54">
        <v>211.48099999999991</v>
      </c>
    </row>
    <row r="860" spans="1:4" x14ac:dyDescent="0.25">
      <c r="A860" s="53" t="s">
        <v>115</v>
      </c>
      <c r="B860" s="53" t="s">
        <v>139</v>
      </c>
      <c r="C860" s="53" t="s">
        <v>160</v>
      </c>
      <c r="D860" s="54">
        <v>1.0999999999999999E-2</v>
      </c>
    </row>
    <row r="861" spans="1:4" x14ac:dyDescent="0.25">
      <c r="A861" s="53" t="s">
        <v>115</v>
      </c>
      <c r="B861" s="53" t="s">
        <v>139</v>
      </c>
      <c r="C861" s="53" t="s">
        <v>161</v>
      </c>
      <c r="D861" s="54">
        <v>0.1240000000000001</v>
      </c>
    </row>
    <row r="862" spans="1:4" x14ac:dyDescent="0.25">
      <c r="A862" s="53" t="s">
        <v>115</v>
      </c>
      <c r="B862" s="53" t="s">
        <v>139</v>
      </c>
      <c r="C862" s="53" t="s">
        <v>158</v>
      </c>
      <c r="D862" s="54">
        <v>1.705999999999996</v>
      </c>
    </row>
    <row r="863" spans="1:4" x14ac:dyDescent="0.25">
      <c r="A863" s="53" t="s">
        <v>115</v>
      </c>
      <c r="B863" s="53" t="s">
        <v>139</v>
      </c>
      <c r="C863" s="53" t="s">
        <v>146</v>
      </c>
      <c r="D863" s="54">
        <v>1.033000000000001</v>
      </c>
    </row>
    <row r="864" spans="1:4" x14ac:dyDescent="0.25">
      <c r="A864" s="53" t="s">
        <v>115</v>
      </c>
      <c r="B864" s="53" t="s">
        <v>139</v>
      </c>
      <c r="C864" s="53" t="s">
        <v>121</v>
      </c>
      <c r="D864" s="54">
        <v>1.349</v>
      </c>
    </row>
    <row r="865" spans="1:4" x14ac:dyDescent="0.25">
      <c r="A865" s="53" t="s">
        <v>115</v>
      </c>
      <c r="B865" s="53" t="s">
        <v>139</v>
      </c>
      <c r="C865" s="53" t="s">
        <v>129</v>
      </c>
      <c r="D865" s="54">
        <v>6.5750000000000028</v>
      </c>
    </row>
    <row r="866" spans="1:4" x14ac:dyDescent="0.25">
      <c r="A866" s="53" t="s">
        <v>115</v>
      </c>
      <c r="B866" s="53" t="s">
        <v>139</v>
      </c>
      <c r="C866" s="53" t="s">
        <v>137</v>
      </c>
      <c r="D866" s="54">
        <v>11.15</v>
      </c>
    </row>
    <row r="867" spans="1:4" x14ac:dyDescent="0.25">
      <c r="A867" s="53" t="s">
        <v>115</v>
      </c>
      <c r="B867" s="53" t="s">
        <v>139</v>
      </c>
      <c r="C867" s="53" t="s">
        <v>166</v>
      </c>
      <c r="D867" s="54">
        <v>1E-3</v>
      </c>
    </row>
    <row r="868" spans="1:4" x14ac:dyDescent="0.25">
      <c r="A868" s="53" t="s">
        <v>115</v>
      </c>
      <c r="B868" s="53" t="s">
        <v>139</v>
      </c>
      <c r="C868" s="53" t="s">
        <v>124</v>
      </c>
      <c r="D868" s="54">
        <v>1.0669999999999999</v>
      </c>
    </row>
    <row r="869" spans="1:4" x14ac:dyDescent="0.25">
      <c r="A869" s="53" t="s">
        <v>115</v>
      </c>
      <c r="B869" s="53" t="s">
        <v>139</v>
      </c>
      <c r="C869" s="53" t="s">
        <v>154</v>
      </c>
      <c r="D869" s="54">
        <v>0.43300000000000022</v>
      </c>
    </row>
    <row r="870" spans="1:4" x14ac:dyDescent="0.25">
      <c r="A870" s="53" t="s">
        <v>115</v>
      </c>
      <c r="B870" s="53" t="s">
        <v>139</v>
      </c>
      <c r="C870" s="53" t="s">
        <v>125</v>
      </c>
      <c r="D870" s="54">
        <v>82.728000000000009</v>
      </c>
    </row>
    <row r="871" spans="1:4" x14ac:dyDescent="0.25">
      <c r="A871" s="53" t="s">
        <v>115</v>
      </c>
      <c r="B871" s="53" t="s">
        <v>139</v>
      </c>
      <c r="C871" s="53" t="s">
        <v>122</v>
      </c>
      <c r="D871" s="54">
        <v>116.13</v>
      </c>
    </row>
    <row r="872" spans="1:4" x14ac:dyDescent="0.25">
      <c r="A872" s="53" t="s">
        <v>115</v>
      </c>
      <c r="B872" s="53" t="s">
        <v>139</v>
      </c>
      <c r="C872" s="53" t="s">
        <v>152</v>
      </c>
      <c r="D872" s="54">
        <v>0.47000000000000008</v>
      </c>
    </row>
    <row r="873" spans="1:4" x14ac:dyDescent="0.25">
      <c r="A873" s="53" t="s">
        <v>115</v>
      </c>
      <c r="B873" s="53" t="s">
        <v>139</v>
      </c>
      <c r="C873" s="53" t="s">
        <v>126</v>
      </c>
      <c r="D873" s="54">
        <v>90.369999999999976</v>
      </c>
    </row>
    <row r="874" spans="1:4" x14ac:dyDescent="0.25">
      <c r="A874" s="53" t="s">
        <v>115</v>
      </c>
      <c r="B874" s="53" t="s">
        <v>139</v>
      </c>
      <c r="C874" s="53" t="s">
        <v>131</v>
      </c>
      <c r="D874" s="54">
        <v>1E-3</v>
      </c>
    </row>
    <row r="875" spans="1:4" x14ac:dyDescent="0.25">
      <c r="A875" s="53" t="s">
        <v>115</v>
      </c>
      <c r="B875" s="53" t="s">
        <v>139</v>
      </c>
      <c r="C875" s="53" t="s">
        <v>165</v>
      </c>
      <c r="D875" s="54">
        <v>5.0000000000000001E-3</v>
      </c>
    </row>
    <row r="876" spans="1:4" x14ac:dyDescent="0.25">
      <c r="A876" s="53" t="s">
        <v>115</v>
      </c>
      <c r="B876" s="53" t="s">
        <v>169</v>
      </c>
      <c r="C876" s="53" t="s">
        <v>120</v>
      </c>
      <c r="D876" s="54">
        <v>2.5119999999999738</v>
      </c>
    </row>
    <row r="877" spans="1:4" x14ac:dyDescent="0.25">
      <c r="A877" s="53" t="s">
        <v>115</v>
      </c>
      <c r="B877" s="53" t="s">
        <v>169</v>
      </c>
      <c r="C877" s="53" t="s">
        <v>142</v>
      </c>
      <c r="D877" s="54">
        <v>1.2549999999999979</v>
      </c>
    </row>
    <row r="878" spans="1:4" x14ac:dyDescent="0.25">
      <c r="A878" s="53" t="s">
        <v>115</v>
      </c>
      <c r="B878" s="53" t="s">
        <v>169</v>
      </c>
      <c r="C878" s="53" t="s">
        <v>145</v>
      </c>
      <c r="D878" s="54">
        <v>14.146000000000001</v>
      </c>
    </row>
    <row r="879" spans="1:4" x14ac:dyDescent="0.25">
      <c r="A879" s="53" t="s">
        <v>115</v>
      </c>
      <c r="B879" s="53" t="s">
        <v>169</v>
      </c>
      <c r="C879" s="53" t="s">
        <v>119</v>
      </c>
      <c r="D879" s="54">
        <v>7.7000000000000055E-2</v>
      </c>
    </row>
    <row r="880" spans="1:4" x14ac:dyDescent="0.25">
      <c r="A880" s="53" t="s">
        <v>115</v>
      </c>
      <c r="B880" s="53" t="s">
        <v>169</v>
      </c>
      <c r="C880" s="53" t="s">
        <v>133</v>
      </c>
      <c r="D880" s="54">
        <v>5.0690000000000186</v>
      </c>
    </row>
    <row r="881" spans="1:4" x14ac:dyDescent="0.25">
      <c r="A881" s="53" t="s">
        <v>115</v>
      </c>
      <c r="B881" s="53" t="s">
        <v>169</v>
      </c>
      <c r="C881" s="53" t="s">
        <v>130</v>
      </c>
      <c r="D881" s="54">
        <v>0.23500000000000021</v>
      </c>
    </row>
    <row r="882" spans="1:4" x14ac:dyDescent="0.25">
      <c r="A882" s="53" t="s">
        <v>115</v>
      </c>
      <c r="B882" s="53" t="s">
        <v>169</v>
      </c>
      <c r="C882" s="53" t="s">
        <v>151</v>
      </c>
      <c r="D882" s="54">
        <v>4.7000000000000028E-2</v>
      </c>
    </row>
    <row r="883" spans="1:4" x14ac:dyDescent="0.25">
      <c r="A883" s="53" t="s">
        <v>115</v>
      </c>
      <c r="B883" s="53" t="s">
        <v>169</v>
      </c>
      <c r="C883" s="53" t="s">
        <v>153</v>
      </c>
      <c r="D883" s="54">
        <v>2.600000000000002E-2</v>
      </c>
    </row>
    <row r="884" spans="1:4" x14ac:dyDescent="0.25">
      <c r="A884" s="53" t="s">
        <v>115</v>
      </c>
      <c r="B884" s="53" t="s">
        <v>169</v>
      </c>
      <c r="C884" s="53" t="s">
        <v>134</v>
      </c>
      <c r="D884" s="54">
        <v>9.7559999999999931</v>
      </c>
    </row>
    <row r="885" spans="1:4" x14ac:dyDescent="0.25">
      <c r="A885" s="53" t="s">
        <v>115</v>
      </c>
      <c r="B885" s="53" t="s">
        <v>169</v>
      </c>
      <c r="C885" s="53" t="s">
        <v>136</v>
      </c>
      <c r="D885" s="54">
        <v>0.21800000000000019</v>
      </c>
    </row>
    <row r="886" spans="1:4" x14ac:dyDescent="0.25">
      <c r="A886" s="53" t="s">
        <v>115</v>
      </c>
      <c r="B886" s="53" t="s">
        <v>169</v>
      </c>
      <c r="C886" s="53" t="s">
        <v>127</v>
      </c>
      <c r="D886" s="54">
        <v>0.51100000000000034</v>
      </c>
    </row>
    <row r="887" spans="1:4" x14ac:dyDescent="0.25">
      <c r="A887" s="53" t="s">
        <v>115</v>
      </c>
      <c r="B887" s="53" t="s">
        <v>169</v>
      </c>
      <c r="C887" s="53" t="s">
        <v>162</v>
      </c>
      <c r="D887" s="54">
        <v>2E-3</v>
      </c>
    </row>
    <row r="888" spans="1:4" x14ac:dyDescent="0.25">
      <c r="A888" s="53" t="s">
        <v>115</v>
      </c>
      <c r="B888" s="53" t="s">
        <v>169</v>
      </c>
      <c r="C888" s="53" t="s">
        <v>161</v>
      </c>
      <c r="D888" s="54">
        <v>0.92100000000000004</v>
      </c>
    </row>
    <row r="889" spans="1:4" x14ac:dyDescent="0.25">
      <c r="A889" s="53" t="s">
        <v>115</v>
      </c>
      <c r="B889" s="53" t="s">
        <v>169</v>
      </c>
      <c r="C889" s="53" t="s">
        <v>141</v>
      </c>
      <c r="D889" s="54">
        <v>5.0000000000000001E-3</v>
      </c>
    </row>
    <row r="890" spans="1:4" x14ac:dyDescent="0.25">
      <c r="A890" s="53" t="s">
        <v>115</v>
      </c>
      <c r="B890" s="53" t="s">
        <v>169</v>
      </c>
      <c r="C890" s="53" t="s">
        <v>158</v>
      </c>
      <c r="D890" s="54">
        <v>2.8000000000000021E-2</v>
      </c>
    </row>
    <row r="891" spans="1:4" x14ac:dyDescent="0.25">
      <c r="A891" s="53" t="s">
        <v>115</v>
      </c>
      <c r="B891" s="53" t="s">
        <v>169</v>
      </c>
      <c r="C891" s="53" t="s">
        <v>146</v>
      </c>
      <c r="D891" s="54">
        <v>4.4050000000000136</v>
      </c>
    </row>
    <row r="892" spans="1:4" x14ac:dyDescent="0.25">
      <c r="A892" s="53" t="s">
        <v>115</v>
      </c>
      <c r="B892" s="53" t="s">
        <v>169</v>
      </c>
      <c r="C892" s="53" t="s">
        <v>121</v>
      </c>
      <c r="D892" s="54">
        <v>2.0459999999999909</v>
      </c>
    </row>
    <row r="893" spans="1:4" x14ac:dyDescent="0.25">
      <c r="A893" s="53" t="s">
        <v>115</v>
      </c>
      <c r="B893" s="53" t="s">
        <v>169</v>
      </c>
      <c r="C893" s="53" t="s">
        <v>129</v>
      </c>
      <c r="D893" s="54">
        <v>0.66200000000000048</v>
      </c>
    </row>
    <row r="894" spans="1:4" x14ac:dyDescent="0.25">
      <c r="A894" s="53" t="s">
        <v>115</v>
      </c>
      <c r="B894" s="53" t="s">
        <v>169</v>
      </c>
      <c r="C894" s="53" t="s">
        <v>156</v>
      </c>
      <c r="D894" s="54">
        <v>4.3140000000000001</v>
      </c>
    </row>
    <row r="895" spans="1:4" x14ac:dyDescent="0.25">
      <c r="A895" s="53" t="s">
        <v>115</v>
      </c>
      <c r="B895" s="53" t="s">
        <v>169</v>
      </c>
      <c r="C895" s="53" t="s">
        <v>135</v>
      </c>
      <c r="D895" s="54">
        <v>3.5000000000000017E-2</v>
      </c>
    </row>
    <row r="896" spans="1:4" x14ac:dyDescent="0.25">
      <c r="A896" s="53" t="s">
        <v>115</v>
      </c>
      <c r="B896" s="53" t="s">
        <v>169</v>
      </c>
      <c r="C896" s="53" t="s">
        <v>124</v>
      </c>
      <c r="D896" s="54">
        <v>0.78400000000000036</v>
      </c>
    </row>
    <row r="897" spans="1:4" x14ac:dyDescent="0.25">
      <c r="A897" s="53" t="s">
        <v>115</v>
      </c>
      <c r="B897" s="53" t="s">
        <v>169</v>
      </c>
      <c r="C897" s="53" t="s">
        <v>155</v>
      </c>
      <c r="D897" s="54">
        <v>9.500000000000007E-2</v>
      </c>
    </row>
    <row r="898" spans="1:4" x14ac:dyDescent="0.25">
      <c r="A898" s="53" t="s">
        <v>115</v>
      </c>
      <c r="B898" s="53" t="s">
        <v>169</v>
      </c>
      <c r="C898" s="53" t="s">
        <v>154</v>
      </c>
      <c r="D898" s="54">
        <v>0.34200000000000008</v>
      </c>
    </row>
    <row r="899" spans="1:4" x14ac:dyDescent="0.25">
      <c r="A899" s="53" t="s">
        <v>115</v>
      </c>
      <c r="B899" s="53" t="s">
        <v>169</v>
      </c>
      <c r="C899" s="53" t="s">
        <v>143</v>
      </c>
      <c r="D899" s="54">
        <v>4.736000000000165</v>
      </c>
    </row>
    <row r="900" spans="1:4" x14ac:dyDescent="0.25">
      <c r="A900" s="53" t="s">
        <v>115</v>
      </c>
      <c r="B900" s="53" t="s">
        <v>169</v>
      </c>
      <c r="C900" s="53" t="s">
        <v>125</v>
      </c>
      <c r="D900" s="54">
        <v>4.4450000000000003</v>
      </c>
    </row>
    <row r="901" spans="1:4" x14ac:dyDescent="0.25">
      <c r="A901" s="53" t="s">
        <v>115</v>
      </c>
      <c r="B901" s="53" t="s">
        <v>169</v>
      </c>
      <c r="C901" s="53" t="s">
        <v>122</v>
      </c>
      <c r="D901" s="54">
        <v>0.2210000000000002</v>
      </c>
    </row>
    <row r="902" spans="1:4" x14ac:dyDescent="0.25">
      <c r="A902" s="53" t="s">
        <v>115</v>
      </c>
      <c r="B902" s="53" t="s">
        <v>169</v>
      </c>
      <c r="C902" s="53" t="s">
        <v>152</v>
      </c>
      <c r="D902" s="54">
        <v>0.35900000000000021</v>
      </c>
    </row>
    <row r="903" spans="1:4" x14ac:dyDescent="0.25">
      <c r="A903" s="53" t="s">
        <v>115</v>
      </c>
      <c r="B903" s="53" t="s">
        <v>169</v>
      </c>
      <c r="C903" s="53" t="s">
        <v>126</v>
      </c>
      <c r="D903" s="54">
        <v>7.4230000000000311</v>
      </c>
    </row>
    <row r="904" spans="1:4" x14ac:dyDescent="0.25">
      <c r="A904" s="53" t="s">
        <v>115</v>
      </c>
      <c r="B904" s="53" t="s">
        <v>123</v>
      </c>
      <c r="C904" s="53" t="s">
        <v>120</v>
      </c>
      <c r="D904" s="54">
        <v>642.57599999999911</v>
      </c>
    </row>
    <row r="905" spans="1:4" x14ac:dyDescent="0.25">
      <c r="A905" s="53" t="s">
        <v>115</v>
      </c>
      <c r="B905" s="53" t="s">
        <v>123</v>
      </c>
      <c r="C905" s="53" t="s">
        <v>142</v>
      </c>
      <c r="D905" s="54">
        <v>10.87999999999996</v>
      </c>
    </row>
    <row r="906" spans="1:4" x14ac:dyDescent="0.25">
      <c r="A906" s="53" t="s">
        <v>115</v>
      </c>
      <c r="B906" s="53" t="s">
        <v>123</v>
      </c>
      <c r="C906" s="53" t="s">
        <v>145</v>
      </c>
      <c r="D906" s="54">
        <v>8.5699999999999878</v>
      </c>
    </row>
    <row r="907" spans="1:4" x14ac:dyDescent="0.25">
      <c r="A907" s="53" t="s">
        <v>115</v>
      </c>
      <c r="B907" s="53" t="s">
        <v>123</v>
      </c>
      <c r="C907" s="53" t="s">
        <v>119</v>
      </c>
      <c r="D907" s="54">
        <v>196.51</v>
      </c>
    </row>
    <row r="908" spans="1:4" x14ac:dyDescent="0.25">
      <c r="A908" s="53" t="s">
        <v>115</v>
      </c>
      <c r="B908" s="53" t="s">
        <v>123</v>
      </c>
      <c r="C908" s="53" t="s">
        <v>133</v>
      </c>
      <c r="D908" s="54">
        <v>1578.019999999992</v>
      </c>
    </row>
    <row r="909" spans="1:4" x14ac:dyDescent="0.25">
      <c r="A909" s="53" t="s">
        <v>115</v>
      </c>
      <c r="B909" s="53" t="s">
        <v>123</v>
      </c>
      <c r="C909" s="53" t="s">
        <v>130</v>
      </c>
      <c r="D909" s="54">
        <v>2075.4959999999951</v>
      </c>
    </row>
    <row r="910" spans="1:4" x14ac:dyDescent="0.25">
      <c r="A910" s="53" t="s">
        <v>115</v>
      </c>
      <c r="B910" s="53" t="s">
        <v>123</v>
      </c>
      <c r="C910" s="53" t="s">
        <v>151</v>
      </c>
      <c r="D910" s="54">
        <v>4.1509999999999794</v>
      </c>
    </row>
    <row r="911" spans="1:4" x14ac:dyDescent="0.25">
      <c r="A911" s="53" t="s">
        <v>115</v>
      </c>
      <c r="B911" s="53" t="s">
        <v>123</v>
      </c>
      <c r="C911" s="53" t="s">
        <v>153</v>
      </c>
      <c r="D911" s="54">
        <v>1.1759999999999931</v>
      </c>
    </row>
    <row r="912" spans="1:4" x14ac:dyDescent="0.25">
      <c r="A912" s="53" t="s">
        <v>115</v>
      </c>
      <c r="B912" s="53" t="s">
        <v>123</v>
      </c>
      <c r="C912" s="53" t="s">
        <v>134</v>
      </c>
      <c r="D912" s="54">
        <v>72.009000000000043</v>
      </c>
    </row>
    <row r="913" spans="1:4" x14ac:dyDescent="0.25">
      <c r="A913" s="53" t="s">
        <v>115</v>
      </c>
      <c r="B913" s="53" t="s">
        <v>123</v>
      </c>
      <c r="C913" s="53" t="s">
        <v>136</v>
      </c>
      <c r="D913" s="54">
        <v>182.6080000000002</v>
      </c>
    </row>
    <row r="914" spans="1:4" x14ac:dyDescent="0.25">
      <c r="A914" s="53" t="s">
        <v>115</v>
      </c>
      <c r="B914" s="53" t="s">
        <v>123</v>
      </c>
      <c r="C914" s="53" t="s">
        <v>127</v>
      </c>
      <c r="D914" s="54">
        <v>2254.0389999999989</v>
      </c>
    </row>
    <row r="915" spans="1:4" x14ac:dyDescent="0.25">
      <c r="A915" s="53" t="s">
        <v>115</v>
      </c>
      <c r="B915" s="53" t="s">
        <v>123</v>
      </c>
      <c r="C915" s="53" t="s">
        <v>160</v>
      </c>
      <c r="D915" s="54">
        <v>0.31900000000000017</v>
      </c>
    </row>
    <row r="916" spans="1:4" x14ac:dyDescent="0.25">
      <c r="A916" s="53" t="s">
        <v>115</v>
      </c>
      <c r="B916" s="53" t="s">
        <v>123</v>
      </c>
      <c r="C916" s="53" t="s">
        <v>162</v>
      </c>
      <c r="D916" s="54">
        <v>2.469999999999962</v>
      </c>
    </row>
    <row r="917" spans="1:4" x14ac:dyDescent="0.25">
      <c r="A917" s="53" t="s">
        <v>115</v>
      </c>
      <c r="B917" s="53" t="s">
        <v>123</v>
      </c>
      <c r="C917" s="53" t="s">
        <v>161</v>
      </c>
      <c r="D917" s="54">
        <v>9.5049999999999475</v>
      </c>
    </row>
    <row r="918" spans="1:4" x14ac:dyDescent="0.25">
      <c r="A918" s="53" t="s">
        <v>115</v>
      </c>
      <c r="B918" s="53" t="s">
        <v>123</v>
      </c>
      <c r="C918" s="53" t="s">
        <v>141</v>
      </c>
      <c r="D918" s="54">
        <v>2.2679999999999998</v>
      </c>
    </row>
    <row r="919" spans="1:4" x14ac:dyDescent="0.25">
      <c r="A919" s="53" t="s">
        <v>115</v>
      </c>
      <c r="B919" s="53" t="s">
        <v>123</v>
      </c>
      <c r="C919" s="53" t="s">
        <v>147</v>
      </c>
      <c r="D919" s="54">
        <v>5.6740000000000004</v>
      </c>
    </row>
    <row r="920" spans="1:4" x14ac:dyDescent="0.25">
      <c r="A920" s="53" t="s">
        <v>115</v>
      </c>
      <c r="B920" s="53" t="s">
        <v>123</v>
      </c>
      <c r="C920" s="53" t="s">
        <v>164</v>
      </c>
      <c r="D920" s="54">
        <v>2.4E-2</v>
      </c>
    </row>
    <row r="921" spans="1:4" x14ac:dyDescent="0.25">
      <c r="A921" s="53" t="s">
        <v>115</v>
      </c>
      <c r="B921" s="53" t="s">
        <v>123</v>
      </c>
      <c r="C921" s="53" t="s">
        <v>158</v>
      </c>
      <c r="D921" s="54">
        <v>12.911999999999949</v>
      </c>
    </row>
    <row r="922" spans="1:4" x14ac:dyDescent="0.25">
      <c r="A922" s="53" t="s">
        <v>115</v>
      </c>
      <c r="B922" s="53" t="s">
        <v>123</v>
      </c>
      <c r="C922" s="53" t="s">
        <v>146</v>
      </c>
      <c r="D922" s="54">
        <v>86.150000000000773</v>
      </c>
    </row>
    <row r="923" spans="1:4" x14ac:dyDescent="0.25">
      <c r="A923" s="53" t="s">
        <v>115</v>
      </c>
      <c r="B923" s="53" t="s">
        <v>123</v>
      </c>
      <c r="C923" s="53" t="s">
        <v>140</v>
      </c>
      <c r="D923" s="54">
        <v>58.359000000000023</v>
      </c>
    </row>
    <row r="924" spans="1:4" x14ac:dyDescent="0.25">
      <c r="A924" s="53" t="s">
        <v>115</v>
      </c>
      <c r="B924" s="53" t="s">
        <v>123</v>
      </c>
      <c r="C924" s="53" t="s">
        <v>121</v>
      </c>
      <c r="D924" s="54">
        <v>272.08499999999748</v>
      </c>
    </row>
    <row r="925" spans="1:4" x14ac:dyDescent="0.25">
      <c r="A925" s="53" t="s">
        <v>115</v>
      </c>
      <c r="B925" s="53" t="s">
        <v>123</v>
      </c>
      <c r="C925" s="53" t="s">
        <v>129</v>
      </c>
      <c r="D925" s="54">
        <v>52.361000000000132</v>
      </c>
    </row>
    <row r="926" spans="1:4" x14ac:dyDescent="0.25">
      <c r="A926" s="53" t="s">
        <v>115</v>
      </c>
      <c r="B926" s="53" t="s">
        <v>123</v>
      </c>
      <c r="C926" s="53" t="s">
        <v>156</v>
      </c>
      <c r="D926" s="54">
        <v>5.2579999999999503</v>
      </c>
    </row>
    <row r="927" spans="1:4" x14ac:dyDescent="0.25">
      <c r="A927" s="53" t="s">
        <v>115</v>
      </c>
      <c r="B927" s="53" t="s">
        <v>123</v>
      </c>
      <c r="C927" s="53" t="s">
        <v>137</v>
      </c>
      <c r="D927" s="54">
        <v>1.196</v>
      </c>
    </row>
    <row r="928" spans="1:4" x14ac:dyDescent="0.25">
      <c r="A928" s="53" t="s">
        <v>115</v>
      </c>
      <c r="B928" s="53" t="s">
        <v>123</v>
      </c>
      <c r="C928" s="53" t="s">
        <v>139</v>
      </c>
      <c r="D928" s="54">
        <v>2E-3</v>
      </c>
    </row>
    <row r="929" spans="1:4" x14ac:dyDescent="0.25">
      <c r="A929" s="53" t="s">
        <v>115</v>
      </c>
      <c r="B929" s="53" t="s">
        <v>123</v>
      </c>
      <c r="C929" s="53" t="s">
        <v>166</v>
      </c>
      <c r="D929" s="54">
        <v>4.3000000000000017E-2</v>
      </c>
    </row>
    <row r="930" spans="1:4" x14ac:dyDescent="0.25">
      <c r="A930" s="53" t="s">
        <v>115</v>
      </c>
      <c r="B930" s="53" t="s">
        <v>123</v>
      </c>
      <c r="C930" s="53" t="s">
        <v>135</v>
      </c>
      <c r="D930" s="54">
        <v>704.11099999999999</v>
      </c>
    </row>
    <row r="931" spans="1:4" x14ac:dyDescent="0.25">
      <c r="A931" s="53" t="s">
        <v>115</v>
      </c>
      <c r="B931" s="53" t="s">
        <v>123</v>
      </c>
      <c r="C931" s="53" t="s">
        <v>124</v>
      </c>
      <c r="D931" s="54">
        <v>155.89399999999981</v>
      </c>
    </row>
    <row r="932" spans="1:4" x14ac:dyDescent="0.25">
      <c r="A932" s="53" t="s">
        <v>115</v>
      </c>
      <c r="B932" s="53" t="s">
        <v>123</v>
      </c>
      <c r="C932" s="53" t="s">
        <v>167</v>
      </c>
      <c r="D932" s="54">
        <v>1.4000000000000011E-2</v>
      </c>
    </row>
    <row r="933" spans="1:4" x14ac:dyDescent="0.25">
      <c r="A933" s="53" t="s">
        <v>115</v>
      </c>
      <c r="B933" s="53" t="s">
        <v>123</v>
      </c>
      <c r="C933" s="53" t="s">
        <v>155</v>
      </c>
      <c r="D933" s="54">
        <v>13.017999999999949</v>
      </c>
    </row>
    <row r="934" spans="1:4" x14ac:dyDescent="0.25">
      <c r="A934" s="53" t="s">
        <v>115</v>
      </c>
      <c r="B934" s="53" t="s">
        <v>123</v>
      </c>
      <c r="C934" s="53" t="s">
        <v>154</v>
      </c>
      <c r="D934" s="54">
        <v>14.686999999999969</v>
      </c>
    </row>
    <row r="935" spans="1:4" x14ac:dyDescent="0.25">
      <c r="A935" s="53" t="s">
        <v>115</v>
      </c>
      <c r="B935" s="53" t="s">
        <v>123</v>
      </c>
      <c r="C935" s="53" t="s">
        <v>143</v>
      </c>
      <c r="D935" s="54">
        <v>67.571000000001263</v>
      </c>
    </row>
    <row r="936" spans="1:4" x14ac:dyDescent="0.25">
      <c r="A936" s="53" t="s">
        <v>115</v>
      </c>
      <c r="B936" s="53" t="s">
        <v>123</v>
      </c>
      <c r="C936" s="53" t="s">
        <v>157</v>
      </c>
      <c r="D936" s="54">
        <v>9.7000000000000003E-2</v>
      </c>
    </row>
    <row r="937" spans="1:4" x14ac:dyDescent="0.25">
      <c r="A937" s="53" t="s">
        <v>115</v>
      </c>
      <c r="B937" s="53" t="s">
        <v>123</v>
      </c>
      <c r="C937" s="53" t="s">
        <v>125</v>
      </c>
      <c r="D937" s="54">
        <v>32.643000000000001</v>
      </c>
    </row>
    <row r="938" spans="1:4" x14ac:dyDescent="0.25">
      <c r="A938" s="53" t="s">
        <v>115</v>
      </c>
      <c r="B938" s="53" t="s">
        <v>123</v>
      </c>
      <c r="C938" s="53" t="s">
        <v>122</v>
      </c>
      <c r="D938" s="54">
        <v>900.58900000000017</v>
      </c>
    </row>
    <row r="939" spans="1:4" x14ac:dyDescent="0.25">
      <c r="A939" s="53" t="s">
        <v>115</v>
      </c>
      <c r="B939" s="53" t="s">
        <v>123</v>
      </c>
      <c r="C939" s="53" t="s">
        <v>152</v>
      </c>
      <c r="D939" s="54">
        <v>33.405000000000072</v>
      </c>
    </row>
    <row r="940" spans="1:4" x14ac:dyDescent="0.25">
      <c r="A940" s="53" t="s">
        <v>115</v>
      </c>
      <c r="B940" s="53" t="s">
        <v>123</v>
      </c>
      <c r="C940" s="53" t="s">
        <v>126</v>
      </c>
      <c r="D940" s="54">
        <v>572.22299999999905</v>
      </c>
    </row>
    <row r="941" spans="1:4" x14ac:dyDescent="0.25">
      <c r="A941" s="53" t="s">
        <v>115</v>
      </c>
      <c r="B941" s="53" t="s">
        <v>123</v>
      </c>
      <c r="C941" s="53" t="s">
        <v>131</v>
      </c>
      <c r="D941" s="54">
        <v>9.096999999999996</v>
      </c>
    </row>
    <row r="942" spans="1:4" x14ac:dyDescent="0.25">
      <c r="A942" s="53" t="s">
        <v>115</v>
      </c>
      <c r="B942" s="53" t="s">
        <v>123</v>
      </c>
      <c r="C942" s="53" t="s">
        <v>165</v>
      </c>
      <c r="D942" s="54">
        <v>9.8000000000000045E-2</v>
      </c>
    </row>
    <row r="943" spans="1:4" x14ac:dyDescent="0.25">
      <c r="A943" s="53" t="s">
        <v>115</v>
      </c>
      <c r="B943" s="53" t="s">
        <v>123</v>
      </c>
      <c r="C943" s="53" t="s">
        <v>168</v>
      </c>
      <c r="D943" s="54">
        <v>3.0000000000000001E-3</v>
      </c>
    </row>
    <row r="944" spans="1:4" x14ac:dyDescent="0.25">
      <c r="A944" s="53" t="s">
        <v>115</v>
      </c>
      <c r="B944" s="53" t="s">
        <v>166</v>
      </c>
      <c r="C944" s="53" t="s">
        <v>119</v>
      </c>
      <c r="D944" s="54">
        <v>8.0000000000000002E-3</v>
      </c>
    </row>
    <row r="945" spans="1:4" x14ac:dyDescent="0.25">
      <c r="A945" s="53" t="s">
        <v>115</v>
      </c>
      <c r="B945" s="53" t="s">
        <v>166</v>
      </c>
      <c r="C945" s="53" t="s">
        <v>130</v>
      </c>
      <c r="D945" s="54">
        <v>1E-3</v>
      </c>
    </row>
    <row r="946" spans="1:4" x14ac:dyDescent="0.25">
      <c r="A946" s="53" t="s">
        <v>115</v>
      </c>
      <c r="B946" s="53" t="s">
        <v>166</v>
      </c>
      <c r="C946" s="53" t="s">
        <v>136</v>
      </c>
      <c r="D946" s="54">
        <v>1.0199999999999989</v>
      </c>
    </row>
    <row r="947" spans="1:4" x14ac:dyDescent="0.25">
      <c r="A947" s="53" t="s">
        <v>115</v>
      </c>
      <c r="B947" s="53" t="s">
        <v>166</v>
      </c>
      <c r="C947" s="53" t="s">
        <v>127</v>
      </c>
      <c r="D947" s="54">
        <v>3.1000000000000021E-2</v>
      </c>
    </row>
    <row r="948" spans="1:4" x14ac:dyDescent="0.25">
      <c r="A948" s="53" t="s">
        <v>115</v>
      </c>
      <c r="B948" s="53" t="s">
        <v>166</v>
      </c>
      <c r="C948" s="53" t="s">
        <v>135</v>
      </c>
      <c r="D948" s="54">
        <v>2E-3</v>
      </c>
    </row>
    <row r="949" spans="1:4" x14ac:dyDescent="0.25">
      <c r="A949" s="53" t="s">
        <v>115</v>
      </c>
      <c r="B949" s="53" t="s">
        <v>166</v>
      </c>
      <c r="C949" s="53" t="s">
        <v>124</v>
      </c>
      <c r="D949" s="54">
        <v>3.0000000000000001E-3</v>
      </c>
    </row>
    <row r="950" spans="1:4" x14ac:dyDescent="0.25">
      <c r="A950" s="53" t="s">
        <v>115</v>
      </c>
      <c r="B950" s="53" t="s">
        <v>148</v>
      </c>
      <c r="C950" s="53" t="s">
        <v>120</v>
      </c>
      <c r="D950" s="54">
        <v>76.665000000001001</v>
      </c>
    </row>
    <row r="951" spans="1:4" x14ac:dyDescent="0.25">
      <c r="A951" s="53" t="s">
        <v>115</v>
      </c>
      <c r="B951" s="53" t="s">
        <v>148</v>
      </c>
      <c r="C951" s="53" t="s">
        <v>142</v>
      </c>
      <c r="D951" s="54">
        <v>0.60600000000000043</v>
      </c>
    </row>
    <row r="952" spans="1:4" x14ac:dyDescent="0.25">
      <c r="A952" s="53" t="s">
        <v>115</v>
      </c>
      <c r="B952" s="53" t="s">
        <v>148</v>
      </c>
      <c r="C952" s="53" t="s">
        <v>145</v>
      </c>
      <c r="D952" s="54">
        <v>4.7379999999999836</v>
      </c>
    </row>
    <row r="953" spans="1:4" x14ac:dyDescent="0.25">
      <c r="A953" s="53" t="s">
        <v>115</v>
      </c>
      <c r="B953" s="53" t="s">
        <v>148</v>
      </c>
      <c r="C953" s="53" t="s">
        <v>119</v>
      </c>
      <c r="D953" s="54">
        <v>29.056999999999999</v>
      </c>
    </row>
    <row r="954" spans="1:4" x14ac:dyDescent="0.25">
      <c r="A954" s="53" t="s">
        <v>115</v>
      </c>
      <c r="B954" s="53" t="s">
        <v>148</v>
      </c>
      <c r="C954" s="53" t="s">
        <v>133</v>
      </c>
      <c r="D954" s="54">
        <v>9.9999999999998561</v>
      </c>
    </row>
    <row r="955" spans="1:4" x14ac:dyDescent="0.25">
      <c r="A955" s="53" t="s">
        <v>115</v>
      </c>
      <c r="B955" s="53" t="s">
        <v>148</v>
      </c>
      <c r="C955" s="53" t="s">
        <v>130</v>
      </c>
      <c r="D955" s="54">
        <v>10.94999999999972</v>
      </c>
    </row>
    <row r="956" spans="1:4" x14ac:dyDescent="0.25">
      <c r="A956" s="53" t="s">
        <v>115</v>
      </c>
      <c r="B956" s="53" t="s">
        <v>148</v>
      </c>
      <c r="C956" s="53" t="s">
        <v>151</v>
      </c>
      <c r="D956" s="54">
        <v>6.7000000000000032E-2</v>
      </c>
    </row>
    <row r="957" spans="1:4" x14ac:dyDescent="0.25">
      <c r="A957" s="53" t="s">
        <v>115</v>
      </c>
      <c r="B957" s="53" t="s">
        <v>148</v>
      </c>
      <c r="C957" s="53" t="s">
        <v>153</v>
      </c>
      <c r="D957" s="54">
        <v>1.770999999999999</v>
      </c>
    </row>
    <row r="958" spans="1:4" x14ac:dyDescent="0.25">
      <c r="A958" s="53" t="s">
        <v>115</v>
      </c>
      <c r="B958" s="53" t="s">
        <v>148</v>
      </c>
      <c r="C958" s="53" t="s">
        <v>134</v>
      </c>
      <c r="D958" s="54">
        <v>56.784000000000042</v>
      </c>
    </row>
    <row r="959" spans="1:4" x14ac:dyDescent="0.25">
      <c r="A959" s="53" t="s">
        <v>115</v>
      </c>
      <c r="B959" s="53" t="s">
        <v>148</v>
      </c>
      <c r="C959" s="53" t="s">
        <v>136</v>
      </c>
      <c r="D959" s="54">
        <v>90.598000000000241</v>
      </c>
    </row>
    <row r="960" spans="1:4" x14ac:dyDescent="0.25">
      <c r="A960" s="53" t="s">
        <v>115</v>
      </c>
      <c r="B960" s="53" t="s">
        <v>148</v>
      </c>
      <c r="C960" s="53" t="s">
        <v>127</v>
      </c>
      <c r="D960" s="54">
        <v>97.031000000001384</v>
      </c>
    </row>
    <row r="961" spans="1:4" x14ac:dyDescent="0.25">
      <c r="A961" s="53" t="s">
        <v>115</v>
      </c>
      <c r="B961" s="53" t="s">
        <v>148</v>
      </c>
      <c r="C961" s="53" t="s">
        <v>160</v>
      </c>
      <c r="D961" s="54">
        <v>1.6000000000000011E-2</v>
      </c>
    </row>
    <row r="962" spans="1:4" x14ac:dyDescent="0.25">
      <c r="A962" s="53" t="s">
        <v>115</v>
      </c>
      <c r="B962" s="53" t="s">
        <v>148</v>
      </c>
      <c r="C962" s="53" t="s">
        <v>162</v>
      </c>
      <c r="D962" s="54">
        <v>6.6000000000000031E-2</v>
      </c>
    </row>
    <row r="963" spans="1:4" x14ac:dyDescent="0.25">
      <c r="A963" s="53" t="s">
        <v>115</v>
      </c>
      <c r="B963" s="53" t="s">
        <v>148</v>
      </c>
      <c r="C963" s="53" t="s">
        <v>161</v>
      </c>
      <c r="D963" s="54">
        <v>0.4020000000000003</v>
      </c>
    </row>
    <row r="964" spans="1:4" x14ac:dyDescent="0.25">
      <c r="A964" s="53" t="s">
        <v>115</v>
      </c>
      <c r="B964" s="53" t="s">
        <v>148</v>
      </c>
      <c r="C964" s="53" t="s">
        <v>141</v>
      </c>
      <c r="D964" s="54">
        <v>1.7229999999999961</v>
      </c>
    </row>
    <row r="965" spans="1:4" x14ac:dyDescent="0.25">
      <c r="A965" s="53" t="s">
        <v>115</v>
      </c>
      <c r="B965" s="53" t="s">
        <v>148</v>
      </c>
      <c r="C965" s="53" t="s">
        <v>158</v>
      </c>
      <c r="D965" s="54">
        <v>12.467999999999879</v>
      </c>
    </row>
    <row r="966" spans="1:4" x14ac:dyDescent="0.25">
      <c r="A966" s="53" t="s">
        <v>115</v>
      </c>
      <c r="B966" s="53" t="s">
        <v>148</v>
      </c>
      <c r="C966" s="53" t="s">
        <v>146</v>
      </c>
      <c r="D966" s="54">
        <v>30.407000000001268</v>
      </c>
    </row>
    <row r="967" spans="1:4" x14ac:dyDescent="0.25">
      <c r="A967" s="53" t="s">
        <v>115</v>
      </c>
      <c r="B967" s="53" t="s">
        <v>148</v>
      </c>
      <c r="C967" s="53" t="s">
        <v>140</v>
      </c>
      <c r="D967" s="54">
        <v>8.9999999999999993E-3</v>
      </c>
    </row>
    <row r="968" spans="1:4" x14ac:dyDescent="0.25">
      <c r="A968" s="53" t="s">
        <v>115</v>
      </c>
      <c r="B968" s="53" t="s">
        <v>148</v>
      </c>
      <c r="C968" s="53" t="s">
        <v>121</v>
      </c>
      <c r="D968" s="54">
        <v>4.1799999999999846</v>
      </c>
    </row>
    <row r="969" spans="1:4" x14ac:dyDescent="0.25">
      <c r="A969" s="53" t="s">
        <v>115</v>
      </c>
      <c r="B969" s="53" t="s">
        <v>148</v>
      </c>
      <c r="C969" s="53" t="s">
        <v>129</v>
      </c>
      <c r="D969" s="54">
        <v>37.78599999999998</v>
      </c>
    </row>
    <row r="970" spans="1:4" x14ac:dyDescent="0.25">
      <c r="A970" s="53" t="s">
        <v>115</v>
      </c>
      <c r="B970" s="53" t="s">
        <v>148</v>
      </c>
      <c r="C970" s="53" t="s">
        <v>156</v>
      </c>
      <c r="D970" s="54">
        <v>0.1740000000000001</v>
      </c>
    </row>
    <row r="971" spans="1:4" x14ac:dyDescent="0.25">
      <c r="A971" s="53" t="s">
        <v>115</v>
      </c>
      <c r="B971" s="53" t="s">
        <v>148</v>
      </c>
      <c r="C971" s="53" t="s">
        <v>137</v>
      </c>
      <c r="D971" s="54">
        <v>2.012999999999999</v>
      </c>
    </row>
    <row r="972" spans="1:4" x14ac:dyDescent="0.25">
      <c r="A972" s="53" t="s">
        <v>115</v>
      </c>
      <c r="B972" s="53" t="s">
        <v>148</v>
      </c>
      <c r="C972" s="53" t="s">
        <v>135</v>
      </c>
      <c r="D972" s="54">
        <v>5.9600000000000088</v>
      </c>
    </row>
    <row r="973" spans="1:4" x14ac:dyDescent="0.25">
      <c r="A973" s="53" t="s">
        <v>115</v>
      </c>
      <c r="B973" s="53" t="s">
        <v>148</v>
      </c>
      <c r="C973" s="53" t="s">
        <v>124</v>
      </c>
      <c r="D973" s="54">
        <v>9.3099999999999987</v>
      </c>
    </row>
    <row r="974" spans="1:4" x14ac:dyDescent="0.25">
      <c r="A974" s="53" t="s">
        <v>115</v>
      </c>
      <c r="B974" s="53" t="s">
        <v>148</v>
      </c>
      <c r="C974" s="53" t="s">
        <v>155</v>
      </c>
      <c r="D974" s="54">
        <v>0.33400000000000019</v>
      </c>
    </row>
    <row r="975" spans="1:4" x14ac:dyDescent="0.25">
      <c r="A975" s="53" t="s">
        <v>115</v>
      </c>
      <c r="B975" s="53" t="s">
        <v>148</v>
      </c>
      <c r="C975" s="53" t="s">
        <v>154</v>
      </c>
      <c r="D975" s="54">
        <v>0.76200000000000057</v>
      </c>
    </row>
    <row r="976" spans="1:4" x14ac:dyDescent="0.25">
      <c r="A976" s="53" t="s">
        <v>115</v>
      </c>
      <c r="B976" s="53" t="s">
        <v>148</v>
      </c>
      <c r="C976" s="53" t="s">
        <v>143</v>
      </c>
      <c r="D976" s="54">
        <v>4.6439999999999761</v>
      </c>
    </row>
    <row r="977" spans="1:4" x14ac:dyDescent="0.25">
      <c r="A977" s="53" t="s">
        <v>115</v>
      </c>
      <c r="B977" s="53" t="s">
        <v>148</v>
      </c>
      <c r="C977" s="53" t="s">
        <v>125</v>
      </c>
      <c r="D977" s="54">
        <v>66.218000000000018</v>
      </c>
    </row>
    <row r="978" spans="1:4" x14ac:dyDescent="0.25">
      <c r="A978" s="53" t="s">
        <v>115</v>
      </c>
      <c r="B978" s="53" t="s">
        <v>148</v>
      </c>
      <c r="C978" s="53" t="s">
        <v>122</v>
      </c>
      <c r="D978" s="54">
        <v>32.801000000000698</v>
      </c>
    </row>
    <row r="979" spans="1:4" x14ac:dyDescent="0.25">
      <c r="A979" s="53" t="s">
        <v>115</v>
      </c>
      <c r="B979" s="53" t="s">
        <v>148</v>
      </c>
      <c r="C979" s="53" t="s">
        <v>152</v>
      </c>
      <c r="D979" s="54">
        <v>2.2239999999999012</v>
      </c>
    </row>
    <row r="980" spans="1:4" x14ac:dyDescent="0.25">
      <c r="A980" s="53" t="s">
        <v>115</v>
      </c>
      <c r="B980" s="53" t="s">
        <v>148</v>
      </c>
      <c r="C980" s="53" t="s">
        <v>126</v>
      </c>
      <c r="D980" s="54">
        <v>237.36399999999981</v>
      </c>
    </row>
    <row r="981" spans="1:4" x14ac:dyDescent="0.25">
      <c r="A981" s="53" t="s">
        <v>115</v>
      </c>
      <c r="B981" s="53" t="s">
        <v>148</v>
      </c>
      <c r="C981" s="53" t="s">
        <v>165</v>
      </c>
      <c r="D981" s="54">
        <v>7.0000000000000001E-3</v>
      </c>
    </row>
    <row r="982" spans="1:4" x14ac:dyDescent="0.25">
      <c r="A982" s="53" t="s">
        <v>115</v>
      </c>
      <c r="B982" s="53" t="s">
        <v>148</v>
      </c>
      <c r="C982" s="53" t="s">
        <v>132</v>
      </c>
      <c r="D982" s="54">
        <v>9.4E-2</v>
      </c>
    </row>
    <row r="983" spans="1:4" x14ac:dyDescent="0.25">
      <c r="A983" s="53" t="s">
        <v>115</v>
      </c>
      <c r="B983" s="53" t="s">
        <v>124</v>
      </c>
      <c r="C983" s="53" t="s">
        <v>120</v>
      </c>
      <c r="D983" s="54">
        <v>177.23500000000021</v>
      </c>
    </row>
    <row r="984" spans="1:4" x14ac:dyDescent="0.25">
      <c r="A984" s="53" t="s">
        <v>115</v>
      </c>
      <c r="B984" s="53" t="s">
        <v>124</v>
      </c>
      <c r="C984" s="53" t="s">
        <v>142</v>
      </c>
      <c r="D984" s="54">
        <v>3.1149999999999332</v>
      </c>
    </row>
    <row r="985" spans="1:4" x14ac:dyDescent="0.25">
      <c r="A985" s="53" t="s">
        <v>115</v>
      </c>
      <c r="B985" s="53" t="s">
        <v>124</v>
      </c>
      <c r="C985" s="53" t="s">
        <v>145</v>
      </c>
      <c r="D985" s="54">
        <v>16.855000000000029</v>
      </c>
    </row>
    <row r="986" spans="1:4" x14ac:dyDescent="0.25">
      <c r="A986" s="53" t="s">
        <v>115</v>
      </c>
      <c r="B986" s="53" t="s">
        <v>124</v>
      </c>
      <c r="C986" s="53" t="s">
        <v>119</v>
      </c>
      <c r="D986" s="54">
        <v>16.676999999999989</v>
      </c>
    </row>
    <row r="987" spans="1:4" x14ac:dyDescent="0.25">
      <c r="A987" s="53" t="s">
        <v>115</v>
      </c>
      <c r="B987" s="53" t="s">
        <v>124</v>
      </c>
      <c r="C987" s="53" t="s">
        <v>133</v>
      </c>
      <c r="D987" s="54">
        <v>26.648000000000788</v>
      </c>
    </row>
    <row r="988" spans="1:4" x14ac:dyDescent="0.25">
      <c r="A988" s="53" t="s">
        <v>115</v>
      </c>
      <c r="B988" s="53" t="s">
        <v>124</v>
      </c>
      <c r="C988" s="53" t="s">
        <v>130</v>
      </c>
      <c r="D988" s="54">
        <v>45.37999999999861</v>
      </c>
    </row>
    <row r="989" spans="1:4" x14ac:dyDescent="0.25">
      <c r="A989" s="53" t="s">
        <v>115</v>
      </c>
      <c r="B989" s="53" t="s">
        <v>124</v>
      </c>
      <c r="C989" s="53" t="s">
        <v>151</v>
      </c>
      <c r="D989" s="54">
        <v>0.8020000000000006</v>
      </c>
    </row>
    <row r="990" spans="1:4" x14ac:dyDescent="0.25">
      <c r="A990" s="53" t="s">
        <v>115</v>
      </c>
      <c r="B990" s="53" t="s">
        <v>124</v>
      </c>
      <c r="C990" s="53" t="s">
        <v>134</v>
      </c>
      <c r="D990" s="54">
        <v>48.824000000000048</v>
      </c>
    </row>
    <row r="991" spans="1:4" x14ac:dyDescent="0.25">
      <c r="A991" s="53" t="s">
        <v>115</v>
      </c>
      <c r="B991" s="53" t="s">
        <v>124</v>
      </c>
      <c r="C991" s="53" t="s">
        <v>136</v>
      </c>
      <c r="D991" s="54">
        <v>30.449999999999971</v>
      </c>
    </row>
    <row r="992" spans="1:4" x14ac:dyDescent="0.25">
      <c r="A992" s="53" t="s">
        <v>115</v>
      </c>
      <c r="B992" s="53" t="s">
        <v>124</v>
      </c>
      <c r="C992" s="53" t="s">
        <v>127</v>
      </c>
      <c r="D992" s="54">
        <v>138.39099999999999</v>
      </c>
    </row>
    <row r="993" spans="1:4" x14ac:dyDescent="0.25">
      <c r="A993" s="53" t="s">
        <v>115</v>
      </c>
      <c r="B993" s="53" t="s">
        <v>124</v>
      </c>
      <c r="C993" s="53" t="s">
        <v>160</v>
      </c>
      <c r="D993" s="54">
        <v>0.1170000000000001</v>
      </c>
    </row>
    <row r="994" spans="1:4" x14ac:dyDescent="0.25">
      <c r="A994" s="53" t="s">
        <v>115</v>
      </c>
      <c r="B994" s="53" t="s">
        <v>124</v>
      </c>
      <c r="C994" s="53" t="s">
        <v>162</v>
      </c>
      <c r="D994" s="54">
        <v>1.5429999999999839</v>
      </c>
    </row>
    <row r="995" spans="1:4" x14ac:dyDescent="0.25">
      <c r="A995" s="53" t="s">
        <v>115</v>
      </c>
      <c r="B995" s="53" t="s">
        <v>124</v>
      </c>
      <c r="C995" s="53" t="s">
        <v>161</v>
      </c>
      <c r="D995" s="54">
        <v>2.5919999999999241</v>
      </c>
    </row>
    <row r="996" spans="1:4" x14ac:dyDescent="0.25">
      <c r="A996" s="53" t="s">
        <v>115</v>
      </c>
      <c r="B996" s="53" t="s">
        <v>124</v>
      </c>
      <c r="C996" s="53" t="s">
        <v>141</v>
      </c>
      <c r="D996" s="54">
        <v>1.331999999999999</v>
      </c>
    </row>
    <row r="997" spans="1:4" x14ac:dyDescent="0.25">
      <c r="A997" s="53" t="s">
        <v>115</v>
      </c>
      <c r="B997" s="53" t="s">
        <v>124</v>
      </c>
      <c r="C997" s="53" t="s">
        <v>158</v>
      </c>
      <c r="D997" s="54">
        <v>26.122000000001329</v>
      </c>
    </row>
    <row r="998" spans="1:4" x14ac:dyDescent="0.25">
      <c r="A998" s="53" t="s">
        <v>115</v>
      </c>
      <c r="B998" s="53" t="s">
        <v>124</v>
      </c>
      <c r="C998" s="53" t="s">
        <v>146</v>
      </c>
      <c r="D998" s="54">
        <v>9.7559999999999594</v>
      </c>
    </row>
    <row r="999" spans="1:4" x14ac:dyDescent="0.25">
      <c r="A999" s="53" t="s">
        <v>115</v>
      </c>
      <c r="B999" s="53" t="s">
        <v>124</v>
      </c>
      <c r="C999" s="53" t="s">
        <v>121</v>
      </c>
      <c r="D999" s="54">
        <v>365.93999999995287</v>
      </c>
    </row>
    <row r="1000" spans="1:4" x14ac:dyDescent="0.25">
      <c r="A1000" s="53" t="s">
        <v>115</v>
      </c>
      <c r="B1000" s="53" t="s">
        <v>124</v>
      </c>
      <c r="C1000" s="53" t="s">
        <v>129</v>
      </c>
      <c r="D1000" s="54">
        <v>55.425000000000438</v>
      </c>
    </row>
    <row r="1001" spans="1:4" x14ac:dyDescent="0.25">
      <c r="A1001" s="53" t="s">
        <v>115</v>
      </c>
      <c r="B1001" s="53" t="s">
        <v>124</v>
      </c>
      <c r="C1001" s="53" t="s">
        <v>156</v>
      </c>
      <c r="D1001" s="54">
        <v>1.4789999999999739</v>
      </c>
    </row>
    <row r="1002" spans="1:4" x14ac:dyDescent="0.25">
      <c r="A1002" s="53" t="s">
        <v>115</v>
      </c>
      <c r="B1002" s="53" t="s">
        <v>124</v>
      </c>
      <c r="C1002" s="53" t="s">
        <v>137</v>
      </c>
      <c r="D1002" s="54">
        <v>0.9750000000000002</v>
      </c>
    </row>
    <row r="1003" spans="1:4" x14ac:dyDescent="0.25">
      <c r="A1003" s="53" t="s">
        <v>115</v>
      </c>
      <c r="B1003" s="53" t="s">
        <v>124</v>
      </c>
      <c r="C1003" s="53" t="s">
        <v>166</v>
      </c>
      <c r="D1003" s="54">
        <v>20.166</v>
      </c>
    </row>
    <row r="1004" spans="1:4" x14ac:dyDescent="0.25">
      <c r="A1004" s="53" t="s">
        <v>115</v>
      </c>
      <c r="B1004" s="53" t="s">
        <v>124</v>
      </c>
      <c r="C1004" s="53" t="s">
        <v>135</v>
      </c>
      <c r="D1004" s="54">
        <v>13.01199999999997</v>
      </c>
    </row>
    <row r="1005" spans="1:4" x14ac:dyDescent="0.25">
      <c r="A1005" s="53" t="s">
        <v>115</v>
      </c>
      <c r="B1005" s="53" t="s">
        <v>124</v>
      </c>
      <c r="C1005" s="53" t="s">
        <v>124</v>
      </c>
      <c r="D1005" s="54">
        <v>6.7290000000000019</v>
      </c>
    </row>
    <row r="1006" spans="1:4" x14ac:dyDescent="0.25">
      <c r="A1006" s="53" t="s">
        <v>115</v>
      </c>
      <c r="B1006" s="53" t="s">
        <v>124</v>
      </c>
      <c r="C1006" s="53" t="s">
        <v>155</v>
      </c>
      <c r="D1006" s="54">
        <v>24.649000000000079</v>
      </c>
    </row>
    <row r="1007" spans="1:4" x14ac:dyDescent="0.25">
      <c r="A1007" s="53" t="s">
        <v>115</v>
      </c>
      <c r="B1007" s="53" t="s">
        <v>124</v>
      </c>
      <c r="C1007" s="53" t="s">
        <v>154</v>
      </c>
      <c r="D1007" s="54">
        <v>3.7069999999998799</v>
      </c>
    </row>
    <row r="1008" spans="1:4" x14ac:dyDescent="0.25">
      <c r="A1008" s="53" t="s">
        <v>115</v>
      </c>
      <c r="B1008" s="53" t="s">
        <v>124</v>
      </c>
      <c r="C1008" s="53" t="s">
        <v>143</v>
      </c>
      <c r="D1008" s="54">
        <v>4.1730000000000427</v>
      </c>
    </row>
    <row r="1009" spans="1:4" x14ac:dyDescent="0.25">
      <c r="A1009" s="53" t="s">
        <v>115</v>
      </c>
      <c r="B1009" s="53" t="s">
        <v>124</v>
      </c>
      <c r="C1009" s="53" t="s">
        <v>125</v>
      </c>
      <c r="D1009" s="54">
        <v>45.685000000000002</v>
      </c>
    </row>
    <row r="1010" spans="1:4" x14ac:dyDescent="0.25">
      <c r="A1010" s="53" t="s">
        <v>115</v>
      </c>
      <c r="B1010" s="53" t="s">
        <v>124</v>
      </c>
      <c r="C1010" s="53" t="s">
        <v>122</v>
      </c>
      <c r="D1010" s="54">
        <v>80.528000000001725</v>
      </c>
    </row>
    <row r="1011" spans="1:4" x14ac:dyDescent="0.25">
      <c r="A1011" s="53" t="s">
        <v>115</v>
      </c>
      <c r="B1011" s="53" t="s">
        <v>124</v>
      </c>
      <c r="C1011" s="53" t="s">
        <v>152</v>
      </c>
      <c r="D1011" s="54">
        <v>7.3010000000001973</v>
      </c>
    </row>
    <row r="1012" spans="1:4" x14ac:dyDescent="0.25">
      <c r="A1012" s="53" t="s">
        <v>115</v>
      </c>
      <c r="B1012" s="53" t="s">
        <v>124</v>
      </c>
      <c r="C1012" s="53" t="s">
        <v>126</v>
      </c>
      <c r="D1012" s="54">
        <v>515.18299999997453</v>
      </c>
    </row>
    <row r="1013" spans="1:4" x14ac:dyDescent="0.25">
      <c r="A1013" s="53" t="s">
        <v>115</v>
      </c>
      <c r="B1013" s="53" t="s">
        <v>124</v>
      </c>
      <c r="C1013" s="53" t="s">
        <v>165</v>
      </c>
      <c r="D1013" s="54">
        <v>2.600000000000002E-2</v>
      </c>
    </row>
    <row r="1014" spans="1:4" x14ac:dyDescent="0.25">
      <c r="A1014" s="53" t="s">
        <v>115</v>
      </c>
      <c r="B1014" s="53" t="s">
        <v>124</v>
      </c>
      <c r="C1014" s="53" t="s">
        <v>132</v>
      </c>
      <c r="D1014" s="54">
        <v>3.5000000000000003E-2</v>
      </c>
    </row>
    <row r="1015" spans="1:4" x14ac:dyDescent="0.25">
      <c r="A1015" s="53" t="s">
        <v>115</v>
      </c>
      <c r="B1015" s="53" t="s">
        <v>167</v>
      </c>
      <c r="C1015" s="53" t="s">
        <v>119</v>
      </c>
      <c r="D1015" s="54">
        <v>2.300000000000001E-2</v>
      </c>
    </row>
    <row r="1016" spans="1:4" x14ac:dyDescent="0.25">
      <c r="A1016" s="53" t="s">
        <v>115</v>
      </c>
      <c r="B1016" s="53" t="s">
        <v>167</v>
      </c>
      <c r="C1016" s="53" t="s">
        <v>136</v>
      </c>
      <c r="D1016" s="54">
        <v>8.0000000000000002E-3</v>
      </c>
    </row>
    <row r="1017" spans="1:4" x14ac:dyDescent="0.25">
      <c r="A1017" s="53" t="s">
        <v>115</v>
      </c>
      <c r="B1017" s="53" t="s">
        <v>167</v>
      </c>
      <c r="C1017" s="53" t="s">
        <v>127</v>
      </c>
      <c r="D1017" s="54">
        <v>4.4000000000000011E-2</v>
      </c>
    </row>
    <row r="1018" spans="1:4" x14ac:dyDescent="0.25">
      <c r="A1018" s="53" t="s">
        <v>115</v>
      </c>
      <c r="B1018" s="53" t="s">
        <v>167</v>
      </c>
      <c r="C1018" s="53" t="s">
        <v>140</v>
      </c>
      <c r="D1018" s="54">
        <v>1E-3</v>
      </c>
    </row>
    <row r="1019" spans="1:4" x14ac:dyDescent="0.25">
      <c r="A1019" s="53" t="s">
        <v>115</v>
      </c>
      <c r="B1019" s="53" t="s">
        <v>167</v>
      </c>
      <c r="C1019" s="53" t="s">
        <v>124</v>
      </c>
      <c r="D1019" s="54">
        <v>5.2000000000000032E-2</v>
      </c>
    </row>
    <row r="1020" spans="1:4" x14ac:dyDescent="0.25">
      <c r="A1020" s="53" t="s">
        <v>115</v>
      </c>
      <c r="B1020" s="53" t="s">
        <v>155</v>
      </c>
      <c r="C1020" s="53" t="s">
        <v>120</v>
      </c>
      <c r="D1020" s="54">
        <v>1.4999999999999999E-2</v>
      </c>
    </row>
    <row r="1021" spans="1:4" x14ac:dyDescent="0.25">
      <c r="A1021" s="53" t="s">
        <v>115</v>
      </c>
      <c r="B1021" s="53" t="s">
        <v>155</v>
      </c>
      <c r="C1021" s="53" t="s">
        <v>119</v>
      </c>
      <c r="D1021" s="54">
        <v>0.43900000000000022</v>
      </c>
    </row>
    <row r="1022" spans="1:4" x14ac:dyDescent="0.25">
      <c r="A1022" s="53" t="s">
        <v>115</v>
      </c>
      <c r="B1022" s="53" t="s">
        <v>155</v>
      </c>
      <c r="C1022" s="53" t="s">
        <v>136</v>
      </c>
      <c r="D1022" s="54">
        <v>2.9909999999999961</v>
      </c>
    </row>
    <row r="1023" spans="1:4" x14ac:dyDescent="0.25">
      <c r="A1023" s="53" t="s">
        <v>115</v>
      </c>
      <c r="B1023" s="53" t="s">
        <v>155</v>
      </c>
      <c r="C1023" s="53" t="s">
        <v>127</v>
      </c>
      <c r="D1023" s="54">
        <v>5.6020000000000003</v>
      </c>
    </row>
    <row r="1024" spans="1:4" x14ac:dyDescent="0.25">
      <c r="A1024" s="53" t="s">
        <v>115</v>
      </c>
      <c r="B1024" s="53" t="s">
        <v>155</v>
      </c>
      <c r="C1024" s="53" t="s">
        <v>137</v>
      </c>
      <c r="D1024" s="54">
        <v>1.2999999999999999E-2</v>
      </c>
    </row>
    <row r="1025" spans="1:4" x14ac:dyDescent="0.25">
      <c r="A1025" s="53" t="s">
        <v>115</v>
      </c>
      <c r="B1025" s="53" t="s">
        <v>155</v>
      </c>
      <c r="C1025" s="53" t="s">
        <v>124</v>
      </c>
      <c r="D1025" s="54">
        <v>0.52400000000000002</v>
      </c>
    </row>
    <row r="1026" spans="1:4" x14ac:dyDescent="0.25">
      <c r="A1026" s="53" t="s">
        <v>115</v>
      </c>
      <c r="B1026" s="53" t="s">
        <v>155</v>
      </c>
      <c r="C1026" s="53" t="s">
        <v>125</v>
      </c>
      <c r="D1026" s="54">
        <v>1.4359999999999999</v>
      </c>
    </row>
    <row r="1027" spans="1:4" x14ac:dyDescent="0.25">
      <c r="A1027" s="53" t="s">
        <v>115</v>
      </c>
      <c r="B1027" s="53" t="s">
        <v>155</v>
      </c>
      <c r="C1027" s="53" t="s">
        <v>122</v>
      </c>
      <c r="D1027" s="54">
        <v>0.58200000000000018</v>
      </c>
    </row>
    <row r="1028" spans="1:4" x14ac:dyDescent="0.25">
      <c r="A1028" s="53" t="s">
        <v>115</v>
      </c>
      <c r="B1028" s="53" t="s">
        <v>155</v>
      </c>
      <c r="C1028" s="53" t="s">
        <v>126</v>
      </c>
      <c r="D1028" s="54">
        <v>2.1000000000000001E-2</v>
      </c>
    </row>
    <row r="1029" spans="1:4" x14ac:dyDescent="0.25">
      <c r="A1029" s="53" t="s">
        <v>115</v>
      </c>
      <c r="B1029" s="53" t="s">
        <v>155</v>
      </c>
      <c r="C1029" s="53" t="s">
        <v>131</v>
      </c>
      <c r="D1029" s="54">
        <v>3.0000000000000001E-3</v>
      </c>
    </row>
    <row r="1030" spans="1:4" x14ac:dyDescent="0.25">
      <c r="A1030" s="53" t="s">
        <v>115</v>
      </c>
      <c r="B1030" s="53" t="s">
        <v>150</v>
      </c>
      <c r="C1030" s="53" t="s">
        <v>120</v>
      </c>
      <c r="D1030" s="54">
        <v>82.461000000000027</v>
      </c>
    </row>
    <row r="1031" spans="1:4" x14ac:dyDescent="0.25">
      <c r="A1031" s="53" t="s">
        <v>115</v>
      </c>
      <c r="B1031" s="53" t="s">
        <v>150</v>
      </c>
      <c r="C1031" s="53" t="s">
        <v>142</v>
      </c>
      <c r="D1031" s="54">
        <v>5.5000000000000021E-2</v>
      </c>
    </row>
    <row r="1032" spans="1:4" x14ac:dyDescent="0.25">
      <c r="A1032" s="53" t="s">
        <v>115</v>
      </c>
      <c r="B1032" s="53" t="s">
        <v>150</v>
      </c>
      <c r="C1032" s="53" t="s">
        <v>119</v>
      </c>
      <c r="D1032" s="54">
        <v>4.7970000000000033</v>
      </c>
    </row>
    <row r="1033" spans="1:4" x14ac:dyDescent="0.25">
      <c r="A1033" s="53" t="s">
        <v>115</v>
      </c>
      <c r="B1033" s="53" t="s">
        <v>150</v>
      </c>
      <c r="C1033" s="53" t="s">
        <v>133</v>
      </c>
      <c r="D1033" s="54">
        <v>15.656000000000001</v>
      </c>
    </row>
    <row r="1034" spans="1:4" x14ac:dyDescent="0.25">
      <c r="A1034" s="53" t="s">
        <v>115</v>
      </c>
      <c r="B1034" s="53" t="s">
        <v>150</v>
      </c>
      <c r="C1034" s="53" t="s">
        <v>130</v>
      </c>
      <c r="D1034" s="54">
        <v>127.40400000000039</v>
      </c>
    </row>
    <row r="1035" spans="1:4" x14ac:dyDescent="0.25">
      <c r="A1035" s="53" t="s">
        <v>115</v>
      </c>
      <c r="B1035" s="53" t="s">
        <v>150</v>
      </c>
      <c r="C1035" s="53" t="s">
        <v>151</v>
      </c>
      <c r="D1035" s="54">
        <v>3.0000000000000001E-3</v>
      </c>
    </row>
    <row r="1036" spans="1:4" x14ac:dyDescent="0.25">
      <c r="A1036" s="53" t="s">
        <v>115</v>
      </c>
      <c r="B1036" s="53" t="s">
        <v>150</v>
      </c>
      <c r="C1036" s="53" t="s">
        <v>134</v>
      </c>
      <c r="D1036" s="54">
        <v>0.62000000000000033</v>
      </c>
    </row>
    <row r="1037" spans="1:4" x14ac:dyDescent="0.25">
      <c r="A1037" s="53" t="s">
        <v>115</v>
      </c>
      <c r="B1037" s="53" t="s">
        <v>150</v>
      </c>
      <c r="C1037" s="53" t="s">
        <v>136</v>
      </c>
      <c r="D1037" s="54">
        <v>63.018000000000008</v>
      </c>
    </row>
    <row r="1038" spans="1:4" x14ac:dyDescent="0.25">
      <c r="A1038" s="53" t="s">
        <v>115</v>
      </c>
      <c r="B1038" s="53" t="s">
        <v>150</v>
      </c>
      <c r="C1038" s="53" t="s">
        <v>127</v>
      </c>
      <c r="D1038" s="54">
        <v>191.60299999999961</v>
      </c>
    </row>
    <row r="1039" spans="1:4" x14ac:dyDescent="0.25">
      <c r="A1039" s="53" t="s">
        <v>115</v>
      </c>
      <c r="B1039" s="53" t="s">
        <v>150</v>
      </c>
      <c r="C1039" s="53" t="s">
        <v>161</v>
      </c>
      <c r="D1039" s="54">
        <v>1.0999999999999999E-2</v>
      </c>
    </row>
    <row r="1040" spans="1:4" x14ac:dyDescent="0.25">
      <c r="A1040" s="53" t="s">
        <v>115</v>
      </c>
      <c r="B1040" s="53" t="s">
        <v>150</v>
      </c>
      <c r="C1040" s="53" t="s">
        <v>158</v>
      </c>
      <c r="D1040" s="54">
        <v>1.7000000000000001E-2</v>
      </c>
    </row>
    <row r="1041" spans="1:4" x14ac:dyDescent="0.25">
      <c r="A1041" s="53" t="s">
        <v>115</v>
      </c>
      <c r="B1041" s="53" t="s">
        <v>150</v>
      </c>
      <c r="C1041" s="53" t="s">
        <v>146</v>
      </c>
      <c r="D1041" s="54">
        <v>1.1079999999999961</v>
      </c>
    </row>
    <row r="1042" spans="1:4" x14ac:dyDescent="0.25">
      <c r="A1042" s="53" t="s">
        <v>115</v>
      </c>
      <c r="B1042" s="53" t="s">
        <v>150</v>
      </c>
      <c r="C1042" s="53" t="s">
        <v>121</v>
      </c>
      <c r="D1042" s="54">
        <v>1.711999999999998</v>
      </c>
    </row>
    <row r="1043" spans="1:4" x14ac:dyDescent="0.25">
      <c r="A1043" s="53" t="s">
        <v>115</v>
      </c>
      <c r="B1043" s="53" t="s">
        <v>150</v>
      </c>
      <c r="C1043" s="53" t="s">
        <v>129</v>
      </c>
      <c r="D1043" s="54">
        <v>2.823</v>
      </c>
    </row>
    <row r="1044" spans="1:4" x14ac:dyDescent="0.25">
      <c r="A1044" s="53" t="s">
        <v>115</v>
      </c>
      <c r="B1044" s="53" t="s">
        <v>150</v>
      </c>
      <c r="C1044" s="53" t="s">
        <v>137</v>
      </c>
      <c r="D1044" s="54">
        <v>3.9950000000000001</v>
      </c>
    </row>
    <row r="1045" spans="1:4" x14ac:dyDescent="0.25">
      <c r="A1045" s="53" t="s">
        <v>115</v>
      </c>
      <c r="B1045" s="53" t="s">
        <v>150</v>
      </c>
      <c r="C1045" s="53" t="s">
        <v>135</v>
      </c>
      <c r="D1045" s="54">
        <v>1.0999999999999999E-2</v>
      </c>
    </row>
    <row r="1046" spans="1:4" x14ac:dyDescent="0.25">
      <c r="A1046" s="53" t="s">
        <v>115</v>
      </c>
      <c r="B1046" s="53" t="s">
        <v>150</v>
      </c>
      <c r="C1046" s="53" t="s">
        <v>124</v>
      </c>
      <c r="D1046" s="54">
        <v>5.7000000000000009E-2</v>
      </c>
    </row>
    <row r="1047" spans="1:4" x14ac:dyDescent="0.25">
      <c r="A1047" s="53" t="s">
        <v>115</v>
      </c>
      <c r="B1047" s="53" t="s">
        <v>150</v>
      </c>
      <c r="C1047" s="53" t="s">
        <v>154</v>
      </c>
      <c r="D1047" s="54">
        <v>2.7000000000000021E-2</v>
      </c>
    </row>
    <row r="1048" spans="1:4" x14ac:dyDescent="0.25">
      <c r="A1048" s="53" t="s">
        <v>115</v>
      </c>
      <c r="B1048" s="53" t="s">
        <v>150</v>
      </c>
      <c r="C1048" s="53" t="s">
        <v>125</v>
      </c>
      <c r="D1048" s="54">
        <v>34.815000000000012</v>
      </c>
    </row>
    <row r="1049" spans="1:4" x14ac:dyDescent="0.25">
      <c r="A1049" s="53" t="s">
        <v>115</v>
      </c>
      <c r="B1049" s="53" t="s">
        <v>150</v>
      </c>
      <c r="C1049" s="53" t="s">
        <v>122</v>
      </c>
      <c r="D1049" s="54">
        <v>100.0860000000002</v>
      </c>
    </row>
    <row r="1050" spans="1:4" x14ac:dyDescent="0.25">
      <c r="A1050" s="53" t="s">
        <v>115</v>
      </c>
      <c r="B1050" s="53" t="s">
        <v>150</v>
      </c>
      <c r="C1050" s="53" t="s">
        <v>152</v>
      </c>
      <c r="D1050" s="54">
        <v>5.6000000000000029E-2</v>
      </c>
    </row>
    <row r="1051" spans="1:4" x14ac:dyDescent="0.25">
      <c r="A1051" s="53" t="s">
        <v>115</v>
      </c>
      <c r="B1051" s="53" t="s">
        <v>150</v>
      </c>
      <c r="C1051" s="53" t="s">
        <v>126</v>
      </c>
      <c r="D1051" s="54">
        <v>37.931999999999988</v>
      </c>
    </row>
    <row r="1052" spans="1:4" x14ac:dyDescent="0.25">
      <c r="A1052" s="53" t="s">
        <v>115</v>
      </c>
      <c r="B1052" s="53" t="s">
        <v>154</v>
      </c>
      <c r="C1052" s="53" t="s">
        <v>119</v>
      </c>
      <c r="D1052" s="54">
        <v>7.5000000000000025E-2</v>
      </c>
    </row>
    <row r="1053" spans="1:4" x14ac:dyDescent="0.25">
      <c r="A1053" s="53" t="s">
        <v>115</v>
      </c>
      <c r="B1053" s="53" t="s">
        <v>154</v>
      </c>
      <c r="C1053" s="53" t="s">
        <v>124</v>
      </c>
      <c r="D1053" s="54">
        <v>1.2999999999999999E-2</v>
      </c>
    </row>
    <row r="1054" spans="1:4" x14ac:dyDescent="0.25">
      <c r="A1054" s="53" t="s">
        <v>115</v>
      </c>
      <c r="B1054" s="53" t="s">
        <v>143</v>
      </c>
      <c r="C1054" s="53" t="s">
        <v>120</v>
      </c>
      <c r="D1054" s="54">
        <v>5.8999999999999997E-2</v>
      </c>
    </row>
    <row r="1055" spans="1:4" x14ac:dyDescent="0.25">
      <c r="A1055" s="53" t="s">
        <v>115</v>
      </c>
      <c r="B1055" s="53" t="s">
        <v>143</v>
      </c>
      <c r="C1055" s="53" t="s">
        <v>119</v>
      </c>
      <c r="D1055" s="54">
        <v>1.4119999999999959</v>
      </c>
    </row>
    <row r="1056" spans="1:4" x14ac:dyDescent="0.25">
      <c r="A1056" s="53" t="s">
        <v>115</v>
      </c>
      <c r="B1056" s="53" t="s">
        <v>143</v>
      </c>
      <c r="C1056" s="53" t="s">
        <v>136</v>
      </c>
      <c r="D1056" s="54">
        <v>2.0420000000000011</v>
      </c>
    </row>
    <row r="1057" spans="1:4" x14ac:dyDescent="0.25">
      <c r="A1057" s="53" t="s">
        <v>115</v>
      </c>
      <c r="B1057" s="53" t="s">
        <v>143</v>
      </c>
      <c r="C1057" s="53" t="s">
        <v>127</v>
      </c>
      <c r="D1057" s="54">
        <v>3.129999999999999</v>
      </c>
    </row>
    <row r="1058" spans="1:4" x14ac:dyDescent="0.25">
      <c r="A1058" s="53" t="s">
        <v>115</v>
      </c>
      <c r="B1058" s="53" t="s">
        <v>143</v>
      </c>
      <c r="C1058" s="53" t="s">
        <v>137</v>
      </c>
      <c r="D1058" s="54">
        <v>4.7E-2</v>
      </c>
    </row>
    <row r="1059" spans="1:4" x14ac:dyDescent="0.25">
      <c r="A1059" s="53" t="s">
        <v>115</v>
      </c>
      <c r="B1059" s="53" t="s">
        <v>143</v>
      </c>
      <c r="C1059" s="53" t="s">
        <v>124</v>
      </c>
      <c r="D1059" s="54">
        <v>1.700999999999997</v>
      </c>
    </row>
    <row r="1060" spans="1:4" x14ac:dyDescent="0.25">
      <c r="A1060" s="53" t="s">
        <v>115</v>
      </c>
      <c r="B1060" s="53" t="s">
        <v>143</v>
      </c>
      <c r="C1060" s="53" t="s">
        <v>125</v>
      </c>
      <c r="D1060" s="54">
        <v>3.35</v>
      </c>
    </row>
    <row r="1061" spans="1:4" x14ac:dyDescent="0.25">
      <c r="A1061" s="53" t="s">
        <v>115</v>
      </c>
      <c r="B1061" s="53" t="s">
        <v>143</v>
      </c>
      <c r="C1061" s="53" t="s">
        <v>122</v>
      </c>
      <c r="D1061" s="54">
        <v>1.32</v>
      </c>
    </row>
    <row r="1062" spans="1:4" x14ac:dyDescent="0.25">
      <c r="A1062" s="53" t="s">
        <v>115</v>
      </c>
      <c r="B1062" s="53" t="s">
        <v>143</v>
      </c>
      <c r="C1062" s="53" t="s">
        <v>126</v>
      </c>
      <c r="D1062" s="54">
        <v>4.2000000000000003E-2</v>
      </c>
    </row>
    <row r="1063" spans="1:4" x14ac:dyDescent="0.25">
      <c r="A1063" s="53" t="s">
        <v>115</v>
      </c>
      <c r="B1063" s="53" t="s">
        <v>143</v>
      </c>
      <c r="C1063" s="53" t="s">
        <v>131</v>
      </c>
      <c r="D1063" s="54">
        <v>8.0000000000000002E-3</v>
      </c>
    </row>
    <row r="1064" spans="1:4" x14ac:dyDescent="0.25">
      <c r="A1064" s="53" t="s">
        <v>115</v>
      </c>
      <c r="B1064" s="53" t="s">
        <v>138</v>
      </c>
      <c r="C1064" s="53" t="s">
        <v>120</v>
      </c>
      <c r="D1064" s="54">
        <v>87.970000000003054</v>
      </c>
    </row>
    <row r="1065" spans="1:4" x14ac:dyDescent="0.25">
      <c r="A1065" s="53" t="s">
        <v>115</v>
      </c>
      <c r="B1065" s="53" t="s">
        <v>138</v>
      </c>
      <c r="C1065" s="53" t="s">
        <v>142</v>
      </c>
      <c r="D1065" s="54">
        <v>3.3589999999999289</v>
      </c>
    </row>
    <row r="1066" spans="1:4" x14ac:dyDescent="0.25">
      <c r="A1066" s="53" t="s">
        <v>115</v>
      </c>
      <c r="B1066" s="53" t="s">
        <v>138</v>
      </c>
      <c r="C1066" s="53" t="s">
        <v>145</v>
      </c>
      <c r="D1066" s="54">
        <v>0.61200000000000032</v>
      </c>
    </row>
    <row r="1067" spans="1:4" x14ac:dyDescent="0.25">
      <c r="A1067" s="53" t="s">
        <v>115</v>
      </c>
      <c r="B1067" s="53" t="s">
        <v>138</v>
      </c>
      <c r="C1067" s="53" t="s">
        <v>119</v>
      </c>
      <c r="D1067" s="54">
        <v>13.603999999999999</v>
      </c>
    </row>
    <row r="1068" spans="1:4" x14ac:dyDescent="0.25">
      <c r="A1068" s="53" t="s">
        <v>115</v>
      </c>
      <c r="B1068" s="53" t="s">
        <v>138</v>
      </c>
      <c r="C1068" s="53" t="s">
        <v>133</v>
      </c>
      <c r="D1068" s="54">
        <v>8.1300000000002566</v>
      </c>
    </row>
    <row r="1069" spans="1:4" x14ac:dyDescent="0.25">
      <c r="A1069" s="53" t="s">
        <v>115</v>
      </c>
      <c r="B1069" s="53" t="s">
        <v>138</v>
      </c>
      <c r="C1069" s="53" t="s">
        <v>130</v>
      </c>
      <c r="D1069" s="54">
        <v>44.879999999995768</v>
      </c>
    </row>
    <row r="1070" spans="1:4" x14ac:dyDescent="0.25">
      <c r="A1070" s="53" t="s">
        <v>115</v>
      </c>
      <c r="B1070" s="53" t="s">
        <v>138</v>
      </c>
      <c r="C1070" s="53" t="s">
        <v>151</v>
      </c>
      <c r="D1070" s="54">
        <v>0.72700000000000053</v>
      </c>
    </row>
    <row r="1071" spans="1:4" x14ac:dyDescent="0.25">
      <c r="A1071" s="53" t="s">
        <v>115</v>
      </c>
      <c r="B1071" s="53" t="s">
        <v>138</v>
      </c>
      <c r="C1071" s="53" t="s">
        <v>134</v>
      </c>
      <c r="D1071" s="54">
        <v>36.568000000000069</v>
      </c>
    </row>
    <row r="1072" spans="1:4" x14ac:dyDescent="0.25">
      <c r="A1072" s="53" t="s">
        <v>115</v>
      </c>
      <c r="B1072" s="53" t="s">
        <v>138</v>
      </c>
      <c r="C1072" s="53" t="s">
        <v>136</v>
      </c>
      <c r="D1072" s="54">
        <v>23.408000000000019</v>
      </c>
    </row>
    <row r="1073" spans="1:4" x14ac:dyDescent="0.25">
      <c r="A1073" s="53" t="s">
        <v>115</v>
      </c>
      <c r="B1073" s="53" t="s">
        <v>138</v>
      </c>
      <c r="C1073" s="53" t="s">
        <v>127</v>
      </c>
      <c r="D1073" s="54">
        <v>96.905000000003895</v>
      </c>
    </row>
    <row r="1074" spans="1:4" x14ac:dyDescent="0.25">
      <c r="A1074" s="53" t="s">
        <v>115</v>
      </c>
      <c r="B1074" s="53" t="s">
        <v>138</v>
      </c>
      <c r="C1074" s="53" t="s">
        <v>160</v>
      </c>
      <c r="D1074" s="54">
        <v>6.100000000000004E-2</v>
      </c>
    </row>
    <row r="1075" spans="1:4" x14ac:dyDescent="0.25">
      <c r="A1075" s="53" t="s">
        <v>115</v>
      </c>
      <c r="B1075" s="53" t="s">
        <v>138</v>
      </c>
      <c r="C1075" s="53" t="s">
        <v>162</v>
      </c>
      <c r="D1075" s="54">
        <v>0.53500000000000025</v>
      </c>
    </row>
    <row r="1076" spans="1:4" x14ac:dyDescent="0.25">
      <c r="A1076" s="53" t="s">
        <v>115</v>
      </c>
      <c r="B1076" s="53" t="s">
        <v>138</v>
      </c>
      <c r="C1076" s="53" t="s">
        <v>161</v>
      </c>
      <c r="D1076" s="54">
        <v>1.202999999999983</v>
      </c>
    </row>
    <row r="1077" spans="1:4" x14ac:dyDescent="0.25">
      <c r="A1077" s="53" t="s">
        <v>115</v>
      </c>
      <c r="B1077" s="53" t="s">
        <v>138</v>
      </c>
      <c r="C1077" s="53" t="s">
        <v>141</v>
      </c>
      <c r="D1077" s="54">
        <v>4.4999999999999998E-2</v>
      </c>
    </row>
    <row r="1078" spans="1:4" x14ac:dyDescent="0.25">
      <c r="A1078" s="53" t="s">
        <v>115</v>
      </c>
      <c r="B1078" s="53" t="s">
        <v>138</v>
      </c>
      <c r="C1078" s="53" t="s">
        <v>158</v>
      </c>
      <c r="D1078" s="54">
        <v>9.5579999999998524</v>
      </c>
    </row>
    <row r="1079" spans="1:4" x14ac:dyDescent="0.25">
      <c r="A1079" s="53" t="s">
        <v>115</v>
      </c>
      <c r="B1079" s="53" t="s">
        <v>138</v>
      </c>
      <c r="C1079" s="53" t="s">
        <v>146</v>
      </c>
      <c r="D1079" s="54">
        <v>6.6410000000002816</v>
      </c>
    </row>
    <row r="1080" spans="1:4" x14ac:dyDescent="0.25">
      <c r="A1080" s="53" t="s">
        <v>115</v>
      </c>
      <c r="B1080" s="53" t="s">
        <v>138</v>
      </c>
      <c r="C1080" s="53" t="s">
        <v>140</v>
      </c>
      <c r="D1080" s="54">
        <v>2.300000000000001E-2</v>
      </c>
    </row>
    <row r="1081" spans="1:4" x14ac:dyDescent="0.25">
      <c r="A1081" s="53" t="s">
        <v>115</v>
      </c>
      <c r="B1081" s="53" t="s">
        <v>138</v>
      </c>
      <c r="C1081" s="53" t="s">
        <v>121</v>
      </c>
      <c r="D1081" s="54">
        <v>18.371999999999499</v>
      </c>
    </row>
    <row r="1082" spans="1:4" x14ac:dyDescent="0.25">
      <c r="A1082" s="53" t="s">
        <v>115</v>
      </c>
      <c r="B1082" s="53" t="s">
        <v>138</v>
      </c>
      <c r="C1082" s="53" t="s">
        <v>129</v>
      </c>
      <c r="D1082" s="54">
        <v>4.157999999999948</v>
      </c>
    </row>
    <row r="1083" spans="1:4" x14ac:dyDescent="0.25">
      <c r="A1083" s="53" t="s">
        <v>115</v>
      </c>
      <c r="B1083" s="53" t="s">
        <v>138</v>
      </c>
      <c r="C1083" s="53" t="s">
        <v>156</v>
      </c>
      <c r="D1083" s="54">
        <v>1.088999999999992</v>
      </c>
    </row>
    <row r="1084" spans="1:4" x14ac:dyDescent="0.25">
      <c r="A1084" s="53" t="s">
        <v>115</v>
      </c>
      <c r="B1084" s="53" t="s">
        <v>138</v>
      </c>
      <c r="C1084" s="53" t="s">
        <v>137</v>
      </c>
      <c r="D1084" s="54">
        <v>1E-3</v>
      </c>
    </row>
    <row r="1085" spans="1:4" x14ac:dyDescent="0.25">
      <c r="A1085" s="53" t="s">
        <v>115</v>
      </c>
      <c r="B1085" s="53" t="s">
        <v>138</v>
      </c>
      <c r="C1085" s="53" t="s">
        <v>166</v>
      </c>
      <c r="D1085" s="54">
        <v>1.702</v>
      </c>
    </row>
    <row r="1086" spans="1:4" x14ac:dyDescent="0.25">
      <c r="A1086" s="53" t="s">
        <v>115</v>
      </c>
      <c r="B1086" s="53" t="s">
        <v>138</v>
      </c>
      <c r="C1086" s="53" t="s">
        <v>135</v>
      </c>
      <c r="D1086" s="54">
        <v>8.1600000000000783</v>
      </c>
    </row>
    <row r="1087" spans="1:4" x14ac:dyDescent="0.25">
      <c r="A1087" s="53" t="s">
        <v>115</v>
      </c>
      <c r="B1087" s="53" t="s">
        <v>138</v>
      </c>
      <c r="C1087" s="53" t="s">
        <v>124</v>
      </c>
      <c r="D1087" s="54">
        <v>33.503</v>
      </c>
    </row>
    <row r="1088" spans="1:4" x14ac:dyDescent="0.25">
      <c r="A1088" s="53" t="s">
        <v>115</v>
      </c>
      <c r="B1088" s="53" t="s">
        <v>138</v>
      </c>
      <c r="C1088" s="53" t="s">
        <v>155</v>
      </c>
      <c r="D1088" s="54">
        <v>0.51400000000000023</v>
      </c>
    </row>
    <row r="1089" spans="1:4" x14ac:dyDescent="0.25">
      <c r="A1089" s="53" t="s">
        <v>115</v>
      </c>
      <c r="B1089" s="53" t="s">
        <v>138</v>
      </c>
      <c r="C1089" s="53" t="s">
        <v>154</v>
      </c>
      <c r="D1089" s="54">
        <v>1.4999999999999689</v>
      </c>
    </row>
    <row r="1090" spans="1:4" x14ac:dyDescent="0.25">
      <c r="A1090" s="53" t="s">
        <v>115</v>
      </c>
      <c r="B1090" s="53" t="s">
        <v>138</v>
      </c>
      <c r="C1090" s="53" t="s">
        <v>143</v>
      </c>
      <c r="D1090" s="54">
        <v>0.75700000000000056</v>
      </c>
    </row>
    <row r="1091" spans="1:4" x14ac:dyDescent="0.25">
      <c r="A1091" s="53" t="s">
        <v>115</v>
      </c>
      <c r="B1091" s="53" t="s">
        <v>138</v>
      </c>
      <c r="C1091" s="53" t="s">
        <v>125</v>
      </c>
      <c r="D1091" s="54">
        <v>1.7909999999999999</v>
      </c>
    </row>
    <row r="1092" spans="1:4" x14ac:dyDescent="0.25">
      <c r="A1092" s="53" t="s">
        <v>115</v>
      </c>
      <c r="B1092" s="53" t="s">
        <v>138</v>
      </c>
      <c r="C1092" s="53" t="s">
        <v>122</v>
      </c>
      <c r="D1092" s="54">
        <v>48.361999999997877</v>
      </c>
    </row>
    <row r="1093" spans="1:4" x14ac:dyDescent="0.25">
      <c r="A1093" s="53" t="s">
        <v>115</v>
      </c>
      <c r="B1093" s="53" t="s">
        <v>138</v>
      </c>
      <c r="C1093" s="53" t="s">
        <v>152</v>
      </c>
      <c r="D1093" s="54">
        <v>3.9029999999998908</v>
      </c>
    </row>
    <row r="1094" spans="1:4" x14ac:dyDescent="0.25">
      <c r="A1094" s="53" t="s">
        <v>115</v>
      </c>
      <c r="B1094" s="53" t="s">
        <v>138</v>
      </c>
      <c r="C1094" s="53" t="s">
        <v>126</v>
      </c>
      <c r="D1094" s="54">
        <v>143.7120000000069</v>
      </c>
    </row>
    <row r="1095" spans="1:4" x14ac:dyDescent="0.25">
      <c r="A1095" s="53" t="s">
        <v>115</v>
      </c>
      <c r="B1095" s="53" t="s">
        <v>138</v>
      </c>
      <c r="C1095" s="53" t="s">
        <v>165</v>
      </c>
      <c r="D1095" s="54">
        <v>3.3000000000000022E-2</v>
      </c>
    </row>
    <row r="1096" spans="1:4" x14ac:dyDescent="0.25">
      <c r="A1096" s="53" t="s">
        <v>115</v>
      </c>
      <c r="B1096" s="53" t="s">
        <v>157</v>
      </c>
      <c r="C1096" s="53" t="s">
        <v>120</v>
      </c>
      <c r="D1096" s="54">
        <v>6.7000000000000004E-2</v>
      </c>
    </row>
    <row r="1097" spans="1:4" x14ac:dyDescent="0.25">
      <c r="A1097" s="53" t="s">
        <v>115</v>
      </c>
      <c r="B1097" s="53" t="s">
        <v>157</v>
      </c>
      <c r="C1097" s="53" t="s">
        <v>119</v>
      </c>
      <c r="D1097" s="54">
        <v>19.292999999999981</v>
      </c>
    </row>
    <row r="1098" spans="1:4" x14ac:dyDescent="0.25">
      <c r="A1098" s="53" t="s">
        <v>115</v>
      </c>
      <c r="B1098" s="53" t="s">
        <v>157</v>
      </c>
      <c r="C1098" s="53" t="s">
        <v>133</v>
      </c>
      <c r="D1098" s="54">
        <v>0.123</v>
      </c>
    </row>
    <row r="1099" spans="1:4" x14ac:dyDescent="0.25">
      <c r="A1099" s="53" t="s">
        <v>115</v>
      </c>
      <c r="B1099" s="53" t="s">
        <v>157</v>
      </c>
      <c r="C1099" s="53" t="s">
        <v>130</v>
      </c>
      <c r="D1099" s="54">
        <v>0.108</v>
      </c>
    </row>
    <row r="1100" spans="1:4" x14ac:dyDescent="0.25">
      <c r="A1100" s="53" t="s">
        <v>115</v>
      </c>
      <c r="B1100" s="53" t="s">
        <v>157</v>
      </c>
      <c r="C1100" s="53" t="s">
        <v>153</v>
      </c>
      <c r="D1100" s="54">
        <v>5.0000000000000001E-3</v>
      </c>
    </row>
    <row r="1101" spans="1:4" x14ac:dyDescent="0.25">
      <c r="A1101" s="53" t="s">
        <v>115</v>
      </c>
      <c r="B1101" s="53" t="s">
        <v>157</v>
      </c>
      <c r="C1101" s="53" t="s">
        <v>136</v>
      </c>
      <c r="D1101" s="54">
        <v>10.82699999999998</v>
      </c>
    </row>
    <row r="1102" spans="1:4" x14ac:dyDescent="0.25">
      <c r="A1102" s="53" t="s">
        <v>115</v>
      </c>
      <c r="B1102" s="53" t="s">
        <v>157</v>
      </c>
      <c r="C1102" s="53" t="s">
        <v>127</v>
      </c>
      <c r="D1102" s="54">
        <v>7.9409999999999954</v>
      </c>
    </row>
    <row r="1103" spans="1:4" x14ac:dyDescent="0.25">
      <c r="A1103" s="53" t="s">
        <v>115</v>
      </c>
      <c r="B1103" s="53" t="s">
        <v>157</v>
      </c>
      <c r="C1103" s="53" t="s">
        <v>164</v>
      </c>
      <c r="D1103" s="54">
        <v>0.12700000000000011</v>
      </c>
    </row>
    <row r="1104" spans="1:4" x14ac:dyDescent="0.25">
      <c r="A1104" s="53" t="s">
        <v>115</v>
      </c>
      <c r="B1104" s="53" t="s">
        <v>157</v>
      </c>
      <c r="C1104" s="53" t="s">
        <v>140</v>
      </c>
      <c r="D1104" s="54">
        <v>1.0369999999999999</v>
      </c>
    </row>
    <row r="1105" spans="1:4" x14ac:dyDescent="0.25">
      <c r="A1105" s="53" t="s">
        <v>115</v>
      </c>
      <c r="B1105" s="53" t="s">
        <v>157</v>
      </c>
      <c r="C1105" s="53" t="s">
        <v>121</v>
      </c>
      <c r="D1105" s="54">
        <v>0.13300000000000009</v>
      </c>
    </row>
    <row r="1106" spans="1:4" x14ac:dyDescent="0.25">
      <c r="A1106" s="53" t="s">
        <v>115</v>
      </c>
      <c r="B1106" s="53" t="s">
        <v>157</v>
      </c>
      <c r="C1106" s="53" t="s">
        <v>156</v>
      </c>
      <c r="D1106" s="54">
        <v>1.232999999999999</v>
      </c>
    </row>
    <row r="1107" spans="1:4" x14ac:dyDescent="0.25">
      <c r="A1107" s="53" t="s">
        <v>115</v>
      </c>
      <c r="B1107" s="53" t="s">
        <v>157</v>
      </c>
      <c r="C1107" s="53" t="s">
        <v>135</v>
      </c>
      <c r="D1107" s="54">
        <v>1.133</v>
      </c>
    </row>
    <row r="1108" spans="1:4" x14ac:dyDescent="0.25">
      <c r="A1108" s="53" t="s">
        <v>115</v>
      </c>
      <c r="B1108" s="53" t="s">
        <v>157</v>
      </c>
      <c r="C1108" s="53" t="s">
        <v>124</v>
      </c>
      <c r="D1108" s="54">
        <v>28.765000000000018</v>
      </c>
    </row>
    <row r="1109" spans="1:4" x14ac:dyDescent="0.25">
      <c r="A1109" s="53" t="s">
        <v>115</v>
      </c>
      <c r="B1109" s="53" t="s">
        <v>157</v>
      </c>
      <c r="C1109" s="53" t="s">
        <v>143</v>
      </c>
      <c r="D1109" s="54">
        <v>0.1790000000000001</v>
      </c>
    </row>
    <row r="1110" spans="1:4" x14ac:dyDescent="0.25">
      <c r="A1110" s="53" t="s">
        <v>115</v>
      </c>
      <c r="B1110" s="53" t="s">
        <v>157</v>
      </c>
      <c r="C1110" s="53" t="s">
        <v>125</v>
      </c>
      <c r="D1110" s="54">
        <v>0.01</v>
      </c>
    </row>
    <row r="1111" spans="1:4" x14ac:dyDescent="0.25">
      <c r="A1111" s="53" t="s">
        <v>115</v>
      </c>
      <c r="B1111" s="53" t="s">
        <v>157</v>
      </c>
      <c r="C1111" s="53" t="s">
        <v>122</v>
      </c>
      <c r="D1111" s="54">
        <v>2.984</v>
      </c>
    </row>
    <row r="1112" spans="1:4" x14ac:dyDescent="0.25">
      <c r="A1112" s="53" t="s">
        <v>115</v>
      </c>
      <c r="B1112" s="53" t="s">
        <v>157</v>
      </c>
      <c r="C1112" s="53" t="s">
        <v>152</v>
      </c>
      <c r="D1112" s="54">
        <v>3.0000000000000001E-3</v>
      </c>
    </row>
    <row r="1113" spans="1:4" x14ac:dyDescent="0.25">
      <c r="A1113" s="53" t="s">
        <v>115</v>
      </c>
      <c r="B1113" s="53" t="s">
        <v>157</v>
      </c>
      <c r="C1113" s="53" t="s">
        <v>131</v>
      </c>
      <c r="D1113" s="54">
        <v>1.2969999999999939</v>
      </c>
    </row>
    <row r="1114" spans="1:4" x14ac:dyDescent="0.25">
      <c r="A1114" s="53" t="s">
        <v>115</v>
      </c>
      <c r="B1114" s="53" t="s">
        <v>170</v>
      </c>
      <c r="C1114" s="53" t="s">
        <v>120</v>
      </c>
      <c r="D1114" s="54">
        <v>0.24400000000000019</v>
      </c>
    </row>
    <row r="1115" spans="1:4" x14ac:dyDescent="0.25">
      <c r="A1115" s="53" t="s">
        <v>115</v>
      </c>
      <c r="B1115" s="53" t="s">
        <v>170</v>
      </c>
      <c r="C1115" s="53" t="s">
        <v>119</v>
      </c>
      <c r="D1115" s="54">
        <v>0.14399999999999999</v>
      </c>
    </row>
    <row r="1116" spans="1:4" x14ac:dyDescent="0.25">
      <c r="A1116" s="53" t="s">
        <v>115</v>
      </c>
      <c r="B1116" s="53" t="s">
        <v>170</v>
      </c>
      <c r="C1116" s="53" t="s">
        <v>133</v>
      </c>
      <c r="D1116" s="54">
        <v>5.4000000000000013E-2</v>
      </c>
    </row>
    <row r="1117" spans="1:4" x14ac:dyDescent="0.25">
      <c r="A1117" s="53" t="s">
        <v>115</v>
      </c>
      <c r="B1117" s="53" t="s">
        <v>170</v>
      </c>
      <c r="C1117" s="53" t="s">
        <v>130</v>
      </c>
      <c r="D1117" s="54">
        <v>0.31300000000000011</v>
      </c>
    </row>
    <row r="1118" spans="1:4" x14ac:dyDescent="0.25">
      <c r="A1118" s="53" t="s">
        <v>115</v>
      </c>
      <c r="B1118" s="53" t="s">
        <v>170</v>
      </c>
      <c r="C1118" s="53" t="s">
        <v>151</v>
      </c>
      <c r="D1118" s="54">
        <v>2E-3</v>
      </c>
    </row>
    <row r="1119" spans="1:4" x14ac:dyDescent="0.25">
      <c r="A1119" s="53" t="s">
        <v>115</v>
      </c>
      <c r="B1119" s="53" t="s">
        <v>170</v>
      </c>
      <c r="C1119" s="53" t="s">
        <v>153</v>
      </c>
      <c r="D1119" s="54">
        <v>4.0000000000000001E-3</v>
      </c>
    </row>
    <row r="1120" spans="1:4" x14ac:dyDescent="0.25">
      <c r="A1120" s="53" t="s">
        <v>115</v>
      </c>
      <c r="B1120" s="53" t="s">
        <v>170</v>
      </c>
      <c r="C1120" s="53" t="s">
        <v>134</v>
      </c>
      <c r="D1120" s="54">
        <v>12.55699999999999</v>
      </c>
    </row>
    <row r="1121" spans="1:4" x14ac:dyDescent="0.25">
      <c r="A1121" s="53" t="s">
        <v>115</v>
      </c>
      <c r="B1121" s="53" t="s">
        <v>170</v>
      </c>
      <c r="C1121" s="53" t="s">
        <v>136</v>
      </c>
      <c r="D1121" s="54">
        <v>3.800000000000002E-2</v>
      </c>
    </row>
    <row r="1122" spans="1:4" x14ac:dyDescent="0.25">
      <c r="A1122" s="53" t="s">
        <v>115</v>
      </c>
      <c r="B1122" s="53" t="s">
        <v>170</v>
      </c>
      <c r="C1122" s="53" t="s">
        <v>127</v>
      </c>
      <c r="D1122" s="54">
        <v>0.27200000000000019</v>
      </c>
    </row>
    <row r="1123" spans="1:4" x14ac:dyDescent="0.25">
      <c r="A1123" s="53" t="s">
        <v>115</v>
      </c>
      <c r="B1123" s="53" t="s">
        <v>170</v>
      </c>
      <c r="C1123" s="53" t="s">
        <v>161</v>
      </c>
      <c r="D1123" s="54">
        <v>6.9000000000000006E-2</v>
      </c>
    </row>
    <row r="1124" spans="1:4" x14ac:dyDescent="0.25">
      <c r="A1124" s="53" t="s">
        <v>115</v>
      </c>
      <c r="B1124" s="53" t="s">
        <v>170</v>
      </c>
      <c r="C1124" s="53" t="s">
        <v>158</v>
      </c>
      <c r="D1124" s="54">
        <v>6.0000000000000001E-3</v>
      </c>
    </row>
    <row r="1125" spans="1:4" x14ac:dyDescent="0.25">
      <c r="A1125" s="53" t="s">
        <v>115</v>
      </c>
      <c r="B1125" s="53" t="s">
        <v>170</v>
      </c>
      <c r="C1125" s="53" t="s">
        <v>146</v>
      </c>
      <c r="D1125" s="54">
        <v>8.0000000000000002E-3</v>
      </c>
    </row>
    <row r="1126" spans="1:4" x14ac:dyDescent="0.25">
      <c r="A1126" s="53" t="s">
        <v>115</v>
      </c>
      <c r="B1126" s="53" t="s">
        <v>170</v>
      </c>
      <c r="C1126" s="53" t="s">
        <v>140</v>
      </c>
      <c r="D1126" s="54">
        <v>5.0000000000000001E-3</v>
      </c>
    </row>
    <row r="1127" spans="1:4" x14ac:dyDescent="0.25">
      <c r="A1127" s="53" t="s">
        <v>115</v>
      </c>
      <c r="B1127" s="53" t="s">
        <v>170</v>
      </c>
      <c r="C1127" s="53" t="s">
        <v>121</v>
      </c>
      <c r="D1127" s="54">
        <v>0.14000000000000001</v>
      </c>
    </row>
    <row r="1128" spans="1:4" x14ac:dyDescent="0.25">
      <c r="A1128" s="53" t="s">
        <v>115</v>
      </c>
      <c r="B1128" s="53" t="s">
        <v>170</v>
      </c>
      <c r="C1128" s="53" t="s">
        <v>129</v>
      </c>
      <c r="D1128" s="54">
        <v>8.0000000000000002E-3</v>
      </c>
    </row>
    <row r="1129" spans="1:4" x14ac:dyDescent="0.25">
      <c r="A1129" s="53" t="s">
        <v>115</v>
      </c>
      <c r="B1129" s="53" t="s">
        <v>170</v>
      </c>
      <c r="C1129" s="53" t="s">
        <v>156</v>
      </c>
      <c r="D1129" s="54">
        <v>1E-3</v>
      </c>
    </row>
    <row r="1130" spans="1:4" x14ac:dyDescent="0.25">
      <c r="A1130" s="53" t="s">
        <v>115</v>
      </c>
      <c r="B1130" s="53" t="s">
        <v>170</v>
      </c>
      <c r="C1130" s="53" t="s">
        <v>135</v>
      </c>
      <c r="D1130" s="54">
        <v>1.6000000000000011E-2</v>
      </c>
    </row>
    <row r="1131" spans="1:4" x14ac:dyDescent="0.25">
      <c r="A1131" s="53" t="s">
        <v>115</v>
      </c>
      <c r="B1131" s="53" t="s">
        <v>170</v>
      </c>
      <c r="C1131" s="53" t="s">
        <v>124</v>
      </c>
      <c r="D1131" s="54">
        <v>0.113</v>
      </c>
    </row>
    <row r="1132" spans="1:4" x14ac:dyDescent="0.25">
      <c r="A1132" s="53" t="s">
        <v>115</v>
      </c>
      <c r="B1132" s="53" t="s">
        <v>170</v>
      </c>
      <c r="C1132" s="53" t="s">
        <v>155</v>
      </c>
      <c r="D1132" s="54">
        <v>6.0000000000000001E-3</v>
      </c>
    </row>
    <row r="1133" spans="1:4" x14ac:dyDescent="0.25">
      <c r="A1133" s="53" t="s">
        <v>115</v>
      </c>
      <c r="B1133" s="53" t="s">
        <v>170</v>
      </c>
      <c r="C1133" s="53" t="s">
        <v>154</v>
      </c>
      <c r="D1133" s="54">
        <v>9.0000000000000011E-3</v>
      </c>
    </row>
    <row r="1134" spans="1:4" x14ac:dyDescent="0.25">
      <c r="A1134" s="53" t="s">
        <v>115</v>
      </c>
      <c r="B1134" s="53" t="s">
        <v>170</v>
      </c>
      <c r="C1134" s="53" t="s">
        <v>143</v>
      </c>
      <c r="D1134" s="54">
        <v>0.21600000000000019</v>
      </c>
    </row>
    <row r="1135" spans="1:4" x14ac:dyDescent="0.25">
      <c r="A1135" s="53" t="s">
        <v>115</v>
      </c>
      <c r="B1135" s="53" t="s">
        <v>170</v>
      </c>
      <c r="C1135" s="53" t="s">
        <v>125</v>
      </c>
      <c r="D1135" s="54">
        <v>8.1000000000000003E-2</v>
      </c>
    </row>
    <row r="1136" spans="1:4" x14ac:dyDescent="0.25">
      <c r="A1136" s="53" t="s">
        <v>115</v>
      </c>
      <c r="B1136" s="53" t="s">
        <v>170</v>
      </c>
      <c r="C1136" s="53" t="s">
        <v>122</v>
      </c>
      <c r="D1136" s="54">
        <v>0.1120000000000001</v>
      </c>
    </row>
    <row r="1137" spans="1:4" x14ac:dyDescent="0.25">
      <c r="A1137" s="53" t="s">
        <v>115</v>
      </c>
      <c r="B1137" s="53" t="s">
        <v>170</v>
      </c>
      <c r="C1137" s="53" t="s">
        <v>152</v>
      </c>
      <c r="D1137" s="54">
        <v>0.63</v>
      </c>
    </row>
    <row r="1138" spans="1:4" x14ac:dyDescent="0.25">
      <c r="A1138" s="53" t="s">
        <v>115</v>
      </c>
      <c r="B1138" s="53" t="s">
        <v>170</v>
      </c>
      <c r="C1138" s="53" t="s">
        <v>126</v>
      </c>
      <c r="D1138" s="54">
        <v>4.8309999999999773</v>
      </c>
    </row>
    <row r="1139" spans="1:4" x14ac:dyDescent="0.25">
      <c r="A1139" s="53" t="s">
        <v>115</v>
      </c>
      <c r="B1139" s="53" t="s">
        <v>170</v>
      </c>
      <c r="C1139" s="53" t="s">
        <v>131</v>
      </c>
      <c r="D1139" s="54">
        <v>5.0000000000000001E-3</v>
      </c>
    </row>
    <row r="1140" spans="1:4" x14ac:dyDescent="0.25">
      <c r="A1140" s="53" t="s">
        <v>115</v>
      </c>
      <c r="B1140" s="53" t="s">
        <v>125</v>
      </c>
      <c r="C1140" s="53" t="s">
        <v>120</v>
      </c>
      <c r="D1140" s="54">
        <v>138.62399999999991</v>
      </c>
    </row>
    <row r="1141" spans="1:4" x14ac:dyDescent="0.25">
      <c r="A1141" s="53" t="s">
        <v>115</v>
      </c>
      <c r="B1141" s="53" t="s">
        <v>125</v>
      </c>
      <c r="C1141" s="53" t="s">
        <v>142</v>
      </c>
      <c r="D1141" s="54">
        <v>13.49299999999999</v>
      </c>
    </row>
    <row r="1142" spans="1:4" x14ac:dyDescent="0.25">
      <c r="A1142" s="53" t="s">
        <v>115</v>
      </c>
      <c r="B1142" s="53" t="s">
        <v>125</v>
      </c>
      <c r="C1142" s="53" t="s">
        <v>145</v>
      </c>
      <c r="D1142" s="54">
        <v>5.6839999999999886</v>
      </c>
    </row>
    <row r="1143" spans="1:4" x14ac:dyDescent="0.25">
      <c r="A1143" s="53" t="s">
        <v>115</v>
      </c>
      <c r="B1143" s="53" t="s">
        <v>125</v>
      </c>
      <c r="C1143" s="53" t="s">
        <v>119</v>
      </c>
      <c r="D1143" s="54">
        <v>122.383</v>
      </c>
    </row>
    <row r="1144" spans="1:4" x14ac:dyDescent="0.25">
      <c r="A1144" s="53" t="s">
        <v>115</v>
      </c>
      <c r="B1144" s="53" t="s">
        <v>125</v>
      </c>
      <c r="C1144" s="53" t="s">
        <v>133</v>
      </c>
      <c r="D1144" s="54">
        <v>70.04400000000021</v>
      </c>
    </row>
    <row r="1145" spans="1:4" x14ac:dyDescent="0.25">
      <c r="A1145" s="53" t="s">
        <v>115</v>
      </c>
      <c r="B1145" s="53" t="s">
        <v>125</v>
      </c>
      <c r="C1145" s="53" t="s">
        <v>130</v>
      </c>
      <c r="D1145" s="54">
        <v>155.0369999999993</v>
      </c>
    </row>
    <row r="1146" spans="1:4" x14ac:dyDescent="0.25">
      <c r="A1146" s="53" t="s">
        <v>115</v>
      </c>
      <c r="B1146" s="53" t="s">
        <v>125</v>
      </c>
      <c r="C1146" s="53" t="s">
        <v>151</v>
      </c>
      <c r="D1146" s="54">
        <v>4.8840000000000057</v>
      </c>
    </row>
    <row r="1147" spans="1:4" x14ac:dyDescent="0.25">
      <c r="A1147" s="53" t="s">
        <v>115</v>
      </c>
      <c r="B1147" s="53" t="s">
        <v>125</v>
      </c>
      <c r="C1147" s="53" t="s">
        <v>153</v>
      </c>
      <c r="D1147" s="54">
        <v>1.580999999999992</v>
      </c>
    </row>
    <row r="1148" spans="1:4" x14ac:dyDescent="0.25">
      <c r="A1148" s="53" t="s">
        <v>115</v>
      </c>
      <c r="B1148" s="53" t="s">
        <v>125</v>
      </c>
      <c r="C1148" s="53" t="s">
        <v>134</v>
      </c>
      <c r="D1148" s="54">
        <v>4.0519999999999987</v>
      </c>
    </row>
    <row r="1149" spans="1:4" x14ac:dyDescent="0.25">
      <c r="A1149" s="53" t="s">
        <v>115</v>
      </c>
      <c r="B1149" s="53" t="s">
        <v>125</v>
      </c>
      <c r="C1149" s="53" t="s">
        <v>136</v>
      </c>
      <c r="D1149" s="54">
        <v>44.286000000000008</v>
      </c>
    </row>
    <row r="1150" spans="1:4" x14ac:dyDescent="0.25">
      <c r="A1150" s="53" t="s">
        <v>115</v>
      </c>
      <c r="B1150" s="53" t="s">
        <v>125</v>
      </c>
      <c r="C1150" s="53" t="s">
        <v>127</v>
      </c>
      <c r="D1150" s="54">
        <v>249.2999999999991</v>
      </c>
    </row>
    <row r="1151" spans="1:4" x14ac:dyDescent="0.25">
      <c r="A1151" s="53" t="s">
        <v>115</v>
      </c>
      <c r="B1151" s="53" t="s">
        <v>125</v>
      </c>
      <c r="C1151" s="53" t="s">
        <v>160</v>
      </c>
      <c r="D1151" s="54">
        <v>0.46300000000000019</v>
      </c>
    </row>
    <row r="1152" spans="1:4" x14ac:dyDescent="0.25">
      <c r="A1152" s="53" t="s">
        <v>115</v>
      </c>
      <c r="B1152" s="53" t="s">
        <v>125</v>
      </c>
      <c r="C1152" s="53" t="s">
        <v>162</v>
      </c>
      <c r="D1152" s="54">
        <v>3.0899999999999799</v>
      </c>
    </row>
    <row r="1153" spans="1:4" x14ac:dyDescent="0.25">
      <c r="A1153" s="53" t="s">
        <v>115</v>
      </c>
      <c r="B1153" s="53" t="s">
        <v>125</v>
      </c>
      <c r="C1153" s="53" t="s">
        <v>161</v>
      </c>
      <c r="D1153" s="54">
        <v>11.10000000000001</v>
      </c>
    </row>
    <row r="1154" spans="1:4" x14ac:dyDescent="0.25">
      <c r="A1154" s="53" t="s">
        <v>115</v>
      </c>
      <c r="B1154" s="53" t="s">
        <v>125</v>
      </c>
      <c r="C1154" s="53" t="s">
        <v>141</v>
      </c>
      <c r="D1154" s="54">
        <v>1.0920000000000001</v>
      </c>
    </row>
    <row r="1155" spans="1:4" x14ac:dyDescent="0.25">
      <c r="A1155" s="53" t="s">
        <v>115</v>
      </c>
      <c r="B1155" s="53" t="s">
        <v>125</v>
      </c>
      <c r="C1155" s="53" t="s">
        <v>147</v>
      </c>
      <c r="D1155" s="54">
        <v>1.036</v>
      </c>
    </row>
    <row r="1156" spans="1:4" x14ac:dyDescent="0.25">
      <c r="A1156" s="53" t="s">
        <v>115</v>
      </c>
      <c r="B1156" s="53" t="s">
        <v>125</v>
      </c>
      <c r="C1156" s="53" t="s">
        <v>164</v>
      </c>
      <c r="D1156" s="54">
        <v>0.105</v>
      </c>
    </row>
    <row r="1157" spans="1:4" x14ac:dyDescent="0.25">
      <c r="A1157" s="53" t="s">
        <v>115</v>
      </c>
      <c r="B1157" s="53" t="s">
        <v>125</v>
      </c>
      <c r="C1157" s="53" t="s">
        <v>158</v>
      </c>
      <c r="D1157" s="54">
        <v>4.0149999999999606</v>
      </c>
    </row>
    <row r="1158" spans="1:4" x14ac:dyDescent="0.25">
      <c r="A1158" s="53" t="s">
        <v>115</v>
      </c>
      <c r="B1158" s="53" t="s">
        <v>125</v>
      </c>
      <c r="C1158" s="53" t="s">
        <v>146</v>
      </c>
      <c r="D1158" s="54">
        <v>42.168000000000063</v>
      </c>
    </row>
    <row r="1159" spans="1:4" x14ac:dyDescent="0.25">
      <c r="A1159" s="53" t="s">
        <v>115</v>
      </c>
      <c r="B1159" s="53" t="s">
        <v>125</v>
      </c>
      <c r="C1159" s="53" t="s">
        <v>140</v>
      </c>
      <c r="D1159" s="54">
        <v>11.708</v>
      </c>
    </row>
    <row r="1160" spans="1:4" x14ac:dyDescent="0.25">
      <c r="A1160" s="53" t="s">
        <v>115</v>
      </c>
      <c r="B1160" s="53" t="s">
        <v>125</v>
      </c>
      <c r="C1160" s="53" t="s">
        <v>121</v>
      </c>
      <c r="D1160" s="54">
        <v>136.47100000000029</v>
      </c>
    </row>
    <row r="1161" spans="1:4" x14ac:dyDescent="0.25">
      <c r="A1161" s="53" t="s">
        <v>115</v>
      </c>
      <c r="B1161" s="53" t="s">
        <v>125</v>
      </c>
      <c r="C1161" s="53" t="s">
        <v>129</v>
      </c>
      <c r="D1161" s="54">
        <v>16.272999999999989</v>
      </c>
    </row>
    <row r="1162" spans="1:4" x14ac:dyDescent="0.25">
      <c r="A1162" s="53" t="s">
        <v>115</v>
      </c>
      <c r="B1162" s="53" t="s">
        <v>125</v>
      </c>
      <c r="C1162" s="53" t="s">
        <v>156</v>
      </c>
      <c r="D1162" s="54">
        <v>16.992000000000079</v>
      </c>
    </row>
    <row r="1163" spans="1:4" x14ac:dyDescent="0.25">
      <c r="A1163" s="53" t="s">
        <v>115</v>
      </c>
      <c r="B1163" s="53" t="s">
        <v>125</v>
      </c>
      <c r="C1163" s="53" t="s">
        <v>137</v>
      </c>
      <c r="D1163" s="54">
        <v>1.1639999999999999</v>
      </c>
    </row>
    <row r="1164" spans="1:4" x14ac:dyDescent="0.25">
      <c r="A1164" s="53" t="s">
        <v>115</v>
      </c>
      <c r="B1164" s="53" t="s">
        <v>125</v>
      </c>
      <c r="C1164" s="53" t="s">
        <v>166</v>
      </c>
      <c r="D1164" s="54">
        <v>3.3000000000000022E-2</v>
      </c>
    </row>
    <row r="1165" spans="1:4" x14ac:dyDescent="0.25">
      <c r="A1165" s="53" t="s">
        <v>115</v>
      </c>
      <c r="B1165" s="53" t="s">
        <v>125</v>
      </c>
      <c r="C1165" s="53" t="s">
        <v>135</v>
      </c>
      <c r="D1165" s="54">
        <v>40.362000000000052</v>
      </c>
    </row>
    <row r="1166" spans="1:4" x14ac:dyDescent="0.25">
      <c r="A1166" s="53" t="s">
        <v>115</v>
      </c>
      <c r="B1166" s="53" t="s">
        <v>125</v>
      </c>
      <c r="C1166" s="53" t="s">
        <v>124</v>
      </c>
      <c r="D1166" s="54">
        <v>133.88300000000001</v>
      </c>
    </row>
    <row r="1167" spans="1:4" x14ac:dyDescent="0.25">
      <c r="A1167" s="53" t="s">
        <v>115</v>
      </c>
      <c r="B1167" s="53" t="s">
        <v>125</v>
      </c>
      <c r="C1167" s="53" t="s">
        <v>167</v>
      </c>
      <c r="D1167" s="54">
        <v>2.9000000000000008E-2</v>
      </c>
    </row>
    <row r="1168" spans="1:4" x14ac:dyDescent="0.25">
      <c r="A1168" s="53" t="s">
        <v>115</v>
      </c>
      <c r="B1168" s="53" t="s">
        <v>125</v>
      </c>
      <c r="C1168" s="53" t="s">
        <v>155</v>
      </c>
      <c r="D1168" s="54">
        <v>14.140999999999989</v>
      </c>
    </row>
    <row r="1169" spans="1:4" x14ac:dyDescent="0.25">
      <c r="A1169" s="53" t="s">
        <v>115</v>
      </c>
      <c r="B1169" s="53" t="s">
        <v>125</v>
      </c>
      <c r="C1169" s="53" t="s">
        <v>154</v>
      </c>
      <c r="D1169" s="54">
        <v>15.326000000000001</v>
      </c>
    </row>
    <row r="1170" spans="1:4" x14ac:dyDescent="0.25">
      <c r="A1170" s="53" t="s">
        <v>115</v>
      </c>
      <c r="B1170" s="53" t="s">
        <v>125</v>
      </c>
      <c r="C1170" s="53" t="s">
        <v>143</v>
      </c>
      <c r="D1170" s="54">
        <v>83.704000000003163</v>
      </c>
    </row>
    <row r="1171" spans="1:4" x14ac:dyDescent="0.25">
      <c r="A1171" s="53" t="s">
        <v>115</v>
      </c>
      <c r="B1171" s="53" t="s">
        <v>125</v>
      </c>
      <c r="C1171" s="53" t="s">
        <v>157</v>
      </c>
      <c r="D1171" s="54">
        <v>2.3E-2</v>
      </c>
    </row>
    <row r="1172" spans="1:4" x14ac:dyDescent="0.25">
      <c r="A1172" s="53" t="s">
        <v>115</v>
      </c>
      <c r="B1172" s="53" t="s">
        <v>125</v>
      </c>
      <c r="C1172" s="53" t="s">
        <v>125</v>
      </c>
      <c r="D1172" s="54">
        <v>3.9280000000000008</v>
      </c>
    </row>
    <row r="1173" spans="1:4" x14ac:dyDescent="0.25">
      <c r="A1173" s="53" t="s">
        <v>115</v>
      </c>
      <c r="B1173" s="53" t="s">
        <v>125</v>
      </c>
      <c r="C1173" s="53" t="s">
        <v>122</v>
      </c>
      <c r="D1173" s="54">
        <v>173.28899999999919</v>
      </c>
    </row>
    <row r="1174" spans="1:4" x14ac:dyDescent="0.25">
      <c r="A1174" s="53" t="s">
        <v>115</v>
      </c>
      <c r="B1174" s="53" t="s">
        <v>125</v>
      </c>
      <c r="C1174" s="53" t="s">
        <v>152</v>
      </c>
      <c r="D1174" s="54">
        <v>37.144000000000219</v>
      </c>
    </row>
    <row r="1175" spans="1:4" x14ac:dyDescent="0.25">
      <c r="A1175" s="53" t="s">
        <v>115</v>
      </c>
      <c r="B1175" s="53" t="s">
        <v>125</v>
      </c>
      <c r="C1175" s="53" t="s">
        <v>126</v>
      </c>
      <c r="D1175" s="54">
        <v>170.46799999999959</v>
      </c>
    </row>
    <row r="1176" spans="1:4" x14ac:dyDescent="0.25">
      <c r="A1176" s="53" t="s">
        <v>115</v>
      </c>
      <c r="B1176" s="53" t="s">
        <v>125</v>
      </c>
      <c r="C1176" s="53" t="s">
        <v>131</v>
      </c>
      <c r="D1176" s="54">
        <v>3.915999999999995</v>
      </c>
    </row>
    <row r="1177" spans="1:4" x14ac:dyDescent="0.25">
      <c r="A1177" s="53" t="s">
        <v>115</v>
      </c>
      <c r="B1177" s="53" t="s">
        <v>125</v>
      </c>
      <c r="C1177" s="53" t="s">
        <v>165</v>
      </c>
      <c r="D1177" s="54">
        <v>0.114</v>
      </c>
    </row>
    <row r="1178" spans="1:4" x14ac:dyDescent="0.25">
      <c r="A1178" s="53" t="s">
        <v>115</v>
      </c>
      <c r="B1178" s="53" t="s">
        <v>125</v>
      </c>
      <c r="C1178" s="53" t="s">
        <v>168</v>
      </c>
      <c r="D1178" s="54">
        <v>3.0000000000000001E-3</v>
      </c>
    </row>
    <row r="1179" spans="1:4" x14ac:dyDescent="0.25">
      <c r="A1179" s="53" t="s">
        <v>115</v>
      </c>
      <c r="B1179" s="53" t="s">
        <v>122</v>
      </c>
      <c r="C1179" s="53" t="s">
        <v>140</v>
      </c>
      <c r="D1179" s="54">
        <v>2E-3</v>
      </c>
    </row>
    <row r="1180" spans="1:4" x14ac:dyDescent="0.25">
      <c r="A1180" s="53" t="s">
        <v>115</v>
      </c>
      <c r="B1180" s="53" t="s">
        <v>126</v>
      </c>
      <c r="C1180" s="53" t="s">
        <v>119</v>
      </c>
      <c r="D1180" s="54">
        <v>10.539</v>
      </c>
    </row>
    <row r="1181" spans="1:4" x14ac:dyDescent="0.25">
      <c r="A1181" s="53" t="s">
        <v>115</v>
      </c>
      <c r="B1181" s="53" t="s">
        <v>126</v>
      </c>
      <c r="C1181" s="53" t="s">
        <v>133</v>
      </c>
      <c r="D1181" s="54">
        <v>4.0000000000000001E-3</v>
      </c>
    </row>
    <row r="1182" spans="1:4" x14ac:dyDescent="0.25">
      <c r="A1182" s="53" t="s">
        <v>115</v>
      </c>
      <c r="B1182" s="53" t="s">
        <v>126</v>
      </c>
      <c r="C1182" s="53" t="s">
        <v>130</v>
      </c>
      <c r="D1182" s="54">
        <v>2.1999999999999999E-2</v>
      </c>
    </row>
    <row r="1183" spans="1:4" x14ac:dyDescent="0.25">
      <c r="A1183" s="53" t="s">
        <v>115</v>
      </c>
      <c r="B1183" s="53" t="s">
        <v>126</v>
      </c>
      <c r="C1183" s="53" t="s">
        <v>136</v>
      </c>
      <c r="D1183" s="54">
        <v>0.6950000000000004</v>
      </c>
    </row>
    <row r="1184" spans="1:4" x14ac:dyDescent="0.25">
      <c r="A1184" s="53" t="s">
        <v>115</v>
      </c>
      <c r="B1184" s="53" t="s">
        <v>126</v>
      </c>
      <c r="C1184" s="53" t="s">
        <v>127</v>
      </c>
      <c r="D1184" s="54">
        <v>1.8989999999999989</v>
      </c>
    </row>
    <row r="1185" spans="1:4" x14ac:dyDescent="0.25">
      <c r="A1185" s="53" t="s">
        <v>115</v>
      </c>
      <c r="B1185" s="53" t="s">
        <v>126</v>
      </c>
      <c r="C1185" s="53" t="s">
        <v>164</v>
      </c>
      <c r="D1185" s="54">
        <v>0.22100000000000011</v>
      </c>
    </row>
    <row r="1186" spans="1:4" x14ac:dyDescent="0.25">
      <c r="A1186" s="53" t="s">
        <v>115</v>
      </c>
      <c r="B1186" s="53" t="s">
        <v>126</v>
      </c>
      <c r="C1186" s="53" t="s">
        <v>140</v>
      </c>
      <c r="D1186" s="54">
        <v>3.8859999999999411</v>
      </c>
    </row>
    <row r="1187" spans="1:4" x14ac:dyDescent="0.25">
      <c r="A1187" s="53" t="s">
        <v>115</v>
      </c>
      <c r="B1187" s="53" t="s">
        <v>126</v>
      </c>
      <c r="C1187" s="53" t="s">
        <v>121</v>
      </c>
      <c r="D1187" s="54">
        <v>7.1000000000000021E-2</v>
      </c>
    </row>
    <row r="1188" spans="1:4" x14ac:dyDescent="0.25">
      <c r="A1188" s="53" t="s">
        <v>115</v>
      </c>
      <c r="B1188" s="53" t="s">
        <v>126</v>
      </c>
      <c r="C1188" s="53" t="s">
        <v>156</v>
      </c>
      <c r="D1188" s="54">
        <v>1.900000000000001E-2</v>
      </c>
    </row>
    <row r="1189" spans="1:4" x14ac:dyDescent="0.25">
      <c r="A1189" s="53" t="s">
        <v>115</v>
      </c>
      <c r="B1189" s="53" t="s">
        <v>126</v>
      </c>
      <c r="C1189" s="53" t="s">
        <v>135</v>
      </c>
      <c r="D1189" s="54">
        <v>0.23799999999999999</v>
      </c>
    </row>
    <row r="1190" spans="1:4" x14ac:dyDescent="0.25">
      <c r="A1190" s="53" t="s">
        <v>115</v>
      </c>
      <c r="B1190" s="53" t="s">
        <v>126</v>
      </c>
      <c r="C1190" s="53" t="s">
        <v>124</v>
      </c>
      <c r="D1190" s="54">
        <v>22.06000000000002</v>
      </c>
    </row>
    <row r="1191" spans="1:4" x14ac:dyDescent="0.25">
      <c r="A1191" s="53" t="s">
        <v>115</v>
      </c>
      <c r="B1191" s="53" t="s">
        <v>126</v>
      </c>
      <c r="C1191" s="53" t="s">
        <v>143</v>
      </c>
      <c r="D1191" s="54">
        <v>0.54200000000000037</v>
      </c>
    </row>
    <row r="1192" spans="1:4" x14ac:dyDescent="0.25">
      <c r="A1192" s="53" t="s">
        <v>115</v>
      </c>
      <c r="B1192" s="53" t="s">
        <v>126</v>
      </c>
      <c r="C1192" s="53" t="s">
        <v>122</v>
      </c>
      <c r="D1192" s="54">
        <v>0.31500000000000011</v>
      </c>
    </row>
    <row r="1193" spans="1:4" x14ac:dyDescent="0.25">
      <c r="A1193" s="53" t="s">
        <v>115</v>
      </c>
      <c r="B1193" s="53" t="s">
        <v>126</v>
      </c>
      <c r="C1193" s="53" t="s">
        <v>131</v>
      </c>
      <c r="D1193" s="54">
        <v>3.785999999999925</v>
      </c>
    </row>
    <row r="1194" spans="1:4" x14ac:dyDescent="0.25">
      <c r="A1194" s="53" t="s">
        <v>115</v>
      </c>
      <c r="B1194" s="53" t="s">
        <v>131</v>
      </c>
      <c r="C1194" s="53" t="s">
        <v>120</v>
      </c>
      <c r="D1194" s="54">
        <v>144.82700000000591</v>
      </c>
    </row>
    <row r="1195" spans="1:4" x14ac:dyDescent="0.25">
      <c r="A1195" s="53" t="s">
        <v>115</v>
      </c>
      <c r="B1195" s="53" t="s">
        <v>131</v>
      </c>
      <c r="C1195" s="53" t="s">
        <v>142</v>
      </c>
      <c r="D1195" s="54">
        <v>3.704999999999937</v>
      </c>
    </row>
    <row r="1196" spans="1:4" x14ac:dyDescent="0.25">
      <c r="A1196" s="53" t="s">
        <v>115</v>
      </c>
      <c r="B1196" s="53" t="s">
        <v>131</v>
      </c>
      <c r="C1196" s="53" t="s">
        <v>145</v>
      </c>
      <c r="D1196" s="54">
        <v>8.5919999999998815</v>
      </c>
    </row>
    <row r="1197" spans="1:4" x14ac:dyDescent="0.25">
      <c r="A1197" s="53" t="s">
        <v>115</v>
      </c>
      <c r="B1197" s="53" t="s">
        <v>131</v>
      </c>
      <c r="C1197" s="53" t="s">
        <v>119</v>
      </c>
      <c r="D1197" s="54">
        <v>69.299000000000063</v>
      </c>
    </row>
    <row r="1198" spans="1:4" x14ac:dyDescent="0.25">
      <c r="A1198" s="53" t="s">
        <v>115</v>
      </c>
      <c r="B1198" s="53" t="s">
        <v>131</v>
      </c>
      <c r="C1198" s="53" t="s">
        <v>133</v>
      </c>
      <c r="D1198" s="54">
        <v>22.52000000000092</v>
      </c>
    </row>
    <row r="1199" spans="1:4" x14ac:dyDescent="0.25">
      <c r="A1199" s="53" t="s">
        <v>115</v>
      </c>
      <c r="B1199" s="53" t="s">
        <v>131</v>
      </c>
      <c r="C1199" s="53" t="s">
        <v>130</v>
      </c>
      <c r="D1199" s="54">
        <v>27.848000000002649</v>
      </c>
    </row>
    <row r="1200" spans="1:4" x14ac:dyDescent="0.25">
      <c r="A1200" s="53" t="s">
        <v>115</v>
      </c>
      <c r="B1200" s="53" t="s">
        <v>131</v>
      </c>
      <c r="C1200" s="53" t="s">
        <v>151</v>
      </c>
      <c r="D1200" s="54">
        <v>4.013999999999994</v>
      </c>
    </row>
    <row r="1201" spans="1:4" x14ac:dyDescent="0.25">
      <c r="A1201" s="53" t="s">
        <v>115</v>
      </c>
      <c r="B1201" s="53" t="s">
        <v>131</v>
      </c>
      <c r="C1201" s="53" t="s">
        <v>153</v>
      </c>
      <c r="D1201" s="54">
        <v>3.3000000000000008E-2</v>
      </c>
    </row>
    <row r="1202" spans="1:4" x14ac:dyDescent="0.25">
      <c r="A1202" s="53" t="s">
        <v>115</v>
      </c>
      <c r="B1202" s="53" t="s">
        <v>131</v>
      </c>
      <c r="C1202" s="53" t="s">
        <v>134</v>
      </c>
      <c r="D1202" s="54">
        <v>60.786000000000293</v>
      </c>
    </row>
    <row r="1203" spans="1:4" x14ac:dyDescent="0.25">
      <c r="A1203" s="53" t="s">
        <v>115</v>
      </c>
      <c r="B1203" s="53" t="s">
        <v>131</v>
      </c>
      <c r="C1203" s="53" t="s">
        <v>136</v>
      </c>
      <c r="D1203" s="54">
        <v>279.66099999999761</v>
      </c>
    </row>
    <row r="1204" spans="1:4" x14ac:dyDescent="0.25">
      <c r="A1204" s="53" t="s">
        <v>115</v>
      </c>
      <c r="B1204" s="53" t="s">
        <v>131</v>
      </c>
      <c r="C1204" s="53" t="s">
        <v>127</v>
      </c>
      <c r="D1204" s="54">
        <v>260.27899999999408</v>
      </c>
    </row>
    <row r="1205" spans="1:4" x14ac:dyDescent="0.25">
      <c r="A1205" s="53" t="s">
        <v>115</v>
      </c>
      <c r="B1205" s="53" t="s">
        <v>131</v>
      </c>
      <c r="C1205" s="53" t="s">
        <v>160</v>
      </c>
      <c r="D1205" s="54">
        <v>2.300000000000001E-2</v>
      </c>
    </row>
    <row r="1206" spans="1:4" x14ac:dyDescent="0.25">
      <c r="A1206" s="53" t="s">
        <v>115</v>
      </c>
      <c r="B1206" s="53" t="s">
        <v>131</v>
      </c>
      <c r="C1206" s="53" t="s">
        <v>162</v>
      </c>
      <c r="D1206" s="54">
        <v>0.33200000000000007</v>
      </c>
    </row>
    <row r="1207" spans="1:4" x14ac:dyDescent="0.25">
      <c r="A1207" s="53" t="s">
        <v>115</v>
      </c>
      <c r="B1207" s="53" t="s">
        <v>131</v>
      </c>
      <c r="C1207" s="53" t="s">
        <v>161</v>
      </c>
      <c r="D1207" s="54">
        <v>0.35400000000000031</v>
      </c>
    </row>
    <row r="1208" spans="1:4" x14ac:dyDescent="0.25">
      <c r="A1208" s="53" t="s">
        <v>115</v>
      </c>
      <c r="B1208" s="53" t="s">
        <v>131</v>
      </c>
      <c r="C1208" s="53" t="s">
        <v>141</v>
      </c>
      <c r="D1208" s="54">
        <v>5.0499999999999901</v>
      </c>
    </row>
    <row r="1209" spans="1:4" x14ac:dyDescent="0.25">
      <c r="A1209" s="53" t="s">
        <v>115</v>
      </c>
      <c r="B1209" s="53" t="s">
        <v>131</v>
      </c>
      <c r="C1209" s="53" t="s">
        <v>158</v>
      </c>
      <c r="D1209" s="54">
        <v>19.60600000000014</v>
      </c>
    </row>
    <row r="1210" spans="1:4" x14ac:dyDescent="0.25">
      <c r="A1210" s="53" t="s">
        <v>115</v>
      </c>
      <c r="B1210" s="53" t="s">
        <v>131</v>
      </c>
      <c r="C1210" s="53" t="s">
        <v>146</v>
      </c>
      <c r="D1210" s="54">
        <v>30.813000000000962</v>
      </c>
    </row>
    <row r="1211" spans="1:4" x14ac:dyDescent="0.25">
      <c r="A1211" s="53" t="s">
        <v>115</v>
      </c>
      <c r="B1211" s="53" t="s">
        <v>131</v>
      </c>
      <c r="C1211" s="53" t="s">
        <v>121</v>
      </c>
      <c r="D1211" s="54">
        <v>117.1630000000025</v>
      </c>
    </row>
    <row r="1212" spans="1:4" x14ac:dyDescent="0.25">
      <c r="A1212" s="53" t="s">
        <v>115</v>
      </c>
      <c r="B1212" s="53" t="s">
        <v>131</v>
      </c>
      <c r="C1212" s="53" t="s">
        <v>129</v>
      </c>
      <c r="D1212" s="54">
        <v>72.068000000001476</v>
      </c>
    </row>
    <row r="1213" spans="1:4" x14ac:dyDescent="0.25">
      <c r="A1213" s="53" t="s">
        <v>115</v>
      </c>
      <c r="B1213" s="53" t="s">
        <v>131</v>
      </c>
      <c r="C1213" s="53" t="s">
        <v>156</v>
      </c>
      <c r="D1213" s="54">
        <v>0.1090000000000001</v>
      </c>
    </row>
    <row r="1214" spans="1:4" x14ac:dyDescent="0.25">
      <c r="A1214" s="53" t="s">
        <v>115</v>
      </c>
      <c r="B1214" s="53" t="s">
        <v>131</v>
      </c>
      <c r="C1214" s="53" t="s">
        <v>137</v>
      </c>
      <c r="D1214" s="54">
        <v>5.5379999999999932</v>
      </c>
    </row>
    <row r="1215" spans="1:4" x14ac:dyDescent="0.25">
      <c r="A1215" s="53" t="s">
        <v>115</v>
      </c>
      <c r="B1215" s="53" t="s">
        <v>131</v>
      </c>
      <c r="C1215" s="53" t="s">
        <v>166</v>
      </c>
      <c r="D1215" s="54">
        <v>0.28599999999999998</v>
      </c>
    </row>
    <row r="1216" spans="1:4" x14ac:dyDescent="0.25">
      <c r="A1216" s="53" t="s">
        <v>115</v>
      </c>
      <c r="B1216" s="53" t="s">
        <v>131</v>
      </c>
      <c r="C1216" s="53" t="s">
        <v>135</v>
      </c>
      <c r="D1216" s="54">
        <v>18.177000000000099</v>
      </c>
    </row>
    <row r="1217" spans="1:4" x14ac:dyDescent="0.25">
      <c r="A1217" s="53" t="s">
        <v>115</v>
      </c>
      <c r="B1217" s="53" t="s">
        <v>131</v>
      </c>
      <c r="C1217" s="53" t="s">
        <v>124</v>
      </c>
      <c r="D1217" s="54">
        <v>1.5109999999999999</v>
      </c>
    </row>
    <row r="1218" spans="1:4" x14ac:dyDescent="0.25">
      <c r="A1218" s="53" t="s">
        <v>115</v>
      </c>
      <c r="B1218" s="53" t="s">
        <v>131</v>
      </c>
      <c r="C1218" s="53" t="s">
        <v>155</v>
      </c>
      <c r="D1218" s="54">
        <v>0.3520000000000002</v>
      </c>
    </row>
    <row r="1219" spans="1:4" x14ac:dyDescent="0.25">
      <c r="A1219" s="53" t="s">
        <v>115</v>
      </c>
      <c r="B1219" s="53" t="s">
        <v>131</v>
      </c>
      <c r="C1219" s="53" t="s">
        <v>154</v>
      </c>
      <c r="D1219" s="54">
        <v>4.1149999999999496</v>
      </c>
    </row>
    <row r="1220" spans="1:4" x14ac:dyDescent="0.25">
      <c r="A1220" s="53" t="s">
        <v>115</v>
      </c>
      <c r="B1220" s="53" t="s">
        <v>131</v>
      </c>
      <c r="C1220" s="53" t="s">
        <v>143</v>
      </c>
      <c r="D1220" s="54">
        <v>6.3709999999999827</v>
      </c>
    </row>
    <row r="1221" spans="1:4" x14ac:dyDescent="0.25">
      <c r="A1221" s="53" t="s">
        <v>115</v>
      </c>
      <c r="B1221" s="53" t="s">
        <v>131</v>
      </c>
      <c r="C1221" s="53" t="s">
        <v>125</v>
      </c>
      <c r="D1221" s="54">
        <v>359.49600000000032</v>
      </c>
    </row>
    <row r="1222" spans="1:4" x14ac:dyDescent="0.25">
      <c r="A1222" s="53" t="s">
        <v>115</v>
      </c>
      <c r="B1222" s="53" t="s">
        <v>131</v>
      </c>
      <c r="C1222" s="53" t="s">
        <v>122</v>
      </c>
      <c r="D1222" s="54">
        <v>76.660000000000963</v>
      </c>
    </row>
    <row r="1223" spans="1:4" x14ac:dyDescent="0.25">
      <c r="A1223" s="53" t="s">
        <v>115</v>
      </c>
      <c r="B1223" s="53" t="s">
        <v>131</v>
      </c>
      <c r="C1223" s="53" t="s">
        <v>152</v>
      </c>
      <c r="D1223" s="54">
        <v>2.4889999999999151</v>
      </c>
    </row>
    <row r="1224" spans="1:4" x14ac:dyDescent="0.25">
      <c r="A1224" s="53" t="s">
        <v>115</v>
      </c>
      <c r="B1224" s="53" t="s">
        <v>131</v>
      </c>
      <c r="C1224" s="53" t="s">
        <v>126</v>
      </c>
      <c r="D1224" s="54">
        <v>333.68599999994802</v>
      </c>
    </row>
    <row r="1225" spans="1:4" x14ac:dyDescent="0.25">
      <c r="A1225" s="53" t="s">
        <v>115</v>
      </c>
      <c r="B1225" s="53" t="s">
        <v>131</v>
      </c>
      <c r="C1225" s="53" t="s">
        <v>165</v>
      </c>
      <c r="D1225" s="54">
        <v>1.2999999999999999E-2</v>
      </c>
    </row>
    <row r="1226" spans="1:4" x14ac:dyDescent="0.25">
      <c r="A1226" s="53" t="s">
        <v>115</v>
      </c>
      <c r="B1226" s="53" t="s">
        <v>131</v>
      </c>
      <c r="C1226" s="53" t="s">
        <v>132</v>
      </c>
      <c r="D1226" s="54">
        <v>0.44000000000000022</v>
      </c>
    </row>
    <row r="1227" spans="1:4" x14ac:dyDescent="0.25">
      <c r="A1227" s="53" t="s">
        <v>115</v>
      </c>
      <c r="B1227" s="53" t="s">
        <v>171</v>
      </c>
      <c r="C1227" s="53" t="s">
        <v>120</v>
      </c>
      <c r="D1227" s="54">
        <v>7.2320000000000153</v>
      </c>
    </row>
    <row r="1228" spans="1:4" x14ac:dyDescent="0.25">
      <c r="A1228" s="53" t="s">
        <v>115</v>
      </c>
      <c r="B1228" s="53" t="s">
        <v>171</v>
      </c>
      <c r="C1228" s="53" t="s">
        <v>142</v>
      </c>
      <c r="D1228" s="54">
        <v>3.0000000000000001E-3</v>
      </c>
    </row>
    <row r="1229" spans="1:4" x14ac:dyDescent="0.25">
      <c r="A1229" s="53" t="s">
        <v>115</v>
      </c>
      <c r="B1229" s="53" t="s">
        <v>171</v>
      </c>
      <c r="C1229" s="53" t="s">
        <v>145</v>
      </c>
      <c r="D1229" s="54">
        <v>2E-3</v>
      </c>
    </row>
    <row r="1230" spans="1:4" x14ac:dyDescent="0.25">
      <c r="A1230" s="53" t="s">
        <v>115</v>
      </c>
      <c r="B1230" s="53" t="s">
        <v>171</v>
      </c>
      <c r="C1230" s="53" t="s">
        <v>119</v>
      </c>
      <c r="D1230" s="54">
        <v>1.6E-2</v>
      </c>
    </row>
    <row r="1231" spans="1:4" x14ac:dyDescent="0.25">
      <c r="A1231" s="53" t="s">
        <v>115</v>
      </c>
      <c r="B1231" s="53" t="s">
        <v>171</v>
      </c>
      <c r="C1231" s="53" t="s">
        <v>133</v>
      </c>
      <c r="D1231" s="54">
        <v>9.1000000000000025E-2</v>
      </c>
    </row>
    <row r="1232" spans="1:4" x14ac:dyDescent="0.25">
      <c r="A1232" s="53" t="s">
        <v>115</v>
      </c>
      <c r="B1232" s="53" t="s">
        <v>171</v>
      </c>
      <c r="C1232" s="53" t="s">
        <v>130</v>
      </c>
      <c r="D1232" s="54">
        <v>4.1000000000000029E-2</v>
      </c>
    </row>
    <row r="1233" spans="1:4" x14ac:dyDescent="0.25">
      <c r="A1233" s="53" t="s">
        <v>115</v>
      </c>
      <c r="B1233" s="53" t="s">
        <v>171</v>
      </c>
      <c r="C1233" s="53" t="s">
        <v>151</v>
      </c>
      <c r="D1233" s="54">
        <v>1.8000000000000009E-2</v>
      </c>
    </row>
    <row r="1234" spans="1:4" x14ac:dyDescent="0.25">
      <c r="A1234" s="53" t="s">
        <v>115</v>
      </c>
      <c r="B1234" s="53" t="s">
        <v>171</v>
      </c>
      <c r="C1234" s="53" t="s">
        <v>153</v>
      </c>
      <c r="D1234" s="54">
        <v>6.0000000000000001E-3</v>
      </c>
    </row>
    <row r="1235" spans="1:4" x14ac:dyDescent="0.25">
      <c r="A1235" s="53" t="s">
        <v>115</v>
      </c>
      <c r="B1235" s="53" t="s">
        <v>171</v>
      </c>
      <c r="C1235" s="53" t="s">
        <v>134</v>
      </c>
      <c r="D1235" s="54">
        <v>7.9279999999999893</v>
      </c>
    </row>
    <row r="1236" spans="1:4" x14ac:dyDescent="0.25">
      <c r="A1236" s="53" t="s">
        <v>115</v>
      </c>
      <c r="B1236" s="53" t="s">
        <v>171</v>
      </c>
      <c r="C1236" s="53" t="s">
        <v>136</v>
      </c>
      <c r="D1236" s="54">
        <v>1.0999999999999999E-2</v>
      </c>
    </row>
    <row r="1237" spans="1:4" x14ac:dyDescent="0.25">
      <c r="A1237" s="53" t="s">
        <v>115</v>
      </c>
      <c r="B1237" s="53" t="s">
        <v>171</v>
      </c>
      <c r="C1237" s="53" t="s">
        <v>127</v>
      </c>
      <c r="D1237" s="54">
        <v>0.13700000000000009</v>
      </c>
    </row>
    <row r="1238" spans="1:4" x14ac:dyDescent="0.25">
      <c r="A1238" s="53" t="s">
        <v>115</v>
      </c>
      <c r="B1238" s="53" t="s">
        <v>171</v>
      </c>
      <c r="C1238" s="53" t="s">
        <v>161</v>
      </c>
      <c r="D1238" s="54">
        <v>5.0000000000000001E-3</v>
      </c>
    </row>
    <row r="1239" spans="1:4" x14ac:dyDescent="0.25">
      <c r="A1239" s="53" t="s">
        <v>115</v>
      </c>
      <c r="B1239" s="53" t="s">
        <v>171</v>
      </c>
      <c r="C1239" s="53" t="s">
        <v>158</v>
      </c>
      <c r="D1239" s="54">
        <v>1E-3</v>
      </c>
    </row>
    <row r="1240" spans="1:4" x14ac:dyDescent="0.25">
      <c r="A1240" s="53" t="s">
        <v>115</v>
      </c>
      <c r="B1240" s="53" t="s">
        <v>171</v>
      </c>
      <c r="C1240" s="53" t="s">
        <v>146</v>
      </c>
      <c r="D1240" s="54">
        <v>2.8000000000000021E-2</v>
      </c>
    </row>
    <row r="1241" spans="1:4" x14ac:dyDescent="0.25">
      <c r="A1241" s="53" t="s">
        <v>115</v>
      </c>
      <c r="B1241" s="53" t="s">
        <v>171</v>
      </c>
      <c r="C1241" s="53" t="s">
        <v>121</v>
      </c>
      <c r="D1241" s="54">
        <v>5.0000000000000037E-2</v>
      </c>
    </row>
    <row r="1242" spans="1:4" x14ac:dyDescent="0.25">
      <c r="A1242" s="53" t="s">
        <v>115</v>
      </c>
      <c r="B1242" s="53" t="s">
        <v>171</v>
      </c>
      <c r="C1242" s="53" t="s">
        <v>129</v>
      </c>
      <c r="D1242" s="54">
        <v>9.2000000000000068E-2</v>
      </c>
    </row>
    <row r="1243" spans="1:4" x14ac:dyDescent="0.25">
      <c r="A1243" s="53" t="s">
        <v>115</v>
      </c>
      <c r="B1243" s="53" t="s">
        <v>171</v>
      </c>
      <c r="C1243" s="53" t="s">
        <v>156</v>
      </c>
      <c r="D1243" s="54">
        <v>4.0000000000000001E-3</v>
      </c>
    </row>
    <row r="1244" spans="1:4" x14ac:dyDescent="0.25">
      <c r="A1244" s="53" t="s">
        <v>115</v>
      </c>
      <c r="B1244" s="53" t="s">
        <v>171</v>
      </c>
      <c r="C1244" s="53" t="s">
        <v>135</v>
      </c>
      <c r="D1244" s="54">
        <v>3.5999999999999997E-2</v>
      </c>
    </row>
    <row r="1245" spans="1:4" x14ac:dyDescent="0.25">
      <c r="A1245" s="53" t="s">
        <v>115</v>
      </c>
      <c r="B1245" s="53" t="s">
        <v>171</v>
      </c>
      <c r="C1245" s="53" t="s">
        <v>124</v>
      </c>
      <c r="D1245" s="54">
        <v>0.29300000000000009</v>
      </c>
    </row>
    <row r="1246" spans="1:4" x14ac:dyDescent="0.25">
      <c r="A1246" s="53" t="s">
        <v>115</v>
      </c>
      <c r="B1246" s="53" t="s">
        <v>171</v>
      </c>
      <c r="C1246" s="53" t="s">
        <v>155</v>
      </c>
      <c r="D1246" s="54">
        <v>3.9000000000000021E-2</v>
      </c>
    </row>
    <row r="1247" spans="1:4" x14ac:dyDescent="0.25">
      <c r="A1247" s="53" t="s">
        <v>115</v>
      </c>
      <c r="B1247" s="53" t="s">
        <v>171</v>
      </c>
      <c r="C1247" s="53" t="s">
        <v>154</v>
      </c>
      <c r="D1247" s="54">
        <v>4.300000000000001E-2</v>
      </c>
    </row>
    <row r="1248" spans="1:4" x14ac:dyDescent="0.25">
      <c r="A1248" s="53" t="s">
        <v>115</v>
      </c>
      <c r="B1248" s="53" t="s">
        <v>171</v>
      </c>
      <c r="C1248" s="53" t="s">
        <v>143</v>
      </c>
      <c r="D1248" s="54">
        <v>0.42400000000000032</v>
      </c>
    </row>
    <row r="1249" spans="1:4" x14ac:dyDescent="0.25">
      <c r="A1249" s="53" t="s">
        <v>115</v>
      </c>
      <c r="B1249" s="53" t="s">
        <v>171</v>
      </c>
      <c r="C1249" s="53" t="s">
        <v>125</v>
      </c>
      <c r="D1249" s="54">
        <v>2.2259999999999991</v>
      </c>
    </row>
    <row r="1250" spans="1:4" x14ac:dyDescent="0.25">
      <c r="A1250" s="53" t="s">
        <v>115</v>
      </c>
      <c r="B1250" s="53" t="s">
        <v>171</v>
      </c>
      <c r="C1250" s="53" t="s">
        <v>122</v>
      </c>
      <c r="D1250" s="54">
        <v>7.0000000000000048E-2</v>
      </c>
    </row>
    <row r="1251" spans="1:4" x14ac:dyDescent="0.25">
      <c r="A1251" s="53" t="s">
        <v>115</v>
      </c>
      <c r="B1251" s="53" t="s">
        <v>171</v>
      </c>
      <c r="C1251" s="53" t="s">
        <v>152</v>
      </c>
      <c r="D1251" s="54">
        <v>3.8000000000000027E-2</v>
      </c>
    </row>
    <row r="1252" spans="1:4" x14ac:dyDescent="0.25">
      <c r="A1252" s="53" t="s">
        <v>115</v>
      </c>
      <c r="B1252" s="53" t="s">
        <v>171</v>
      </c>
      <c r="C1252" s="53" t="s">
        <v>126</v>
      </c>
      <c r="D1252" s="54">
        <v>7.8630000000000164</v>
      </c>
    </row>
    <row r="1253" spans="1:4" x14ac:dyDescent="0.25">
      <c r="A1253" s="53" t="s">
        <v>115</v>
      </c>
      <c r="B1253" s="53" t="s">
        <v>132</v>
      </c>
      <c r="C1253" s="53" t="s">
        <v>120</v>
      </c>
      <c r="D1253" s="54">
        <v>265.21599999998949</v>
      </c>
    </row>
    <row r="1254" spans="1:4" x14ac:dyDescent="0.25">
      <c r="A1254" s="53" t="s">
        <v>115</v>
      </c>
      <c r="B1254" s="53" t="s">
        <v>132</v>
      </c>
      <c r="C1254" s="53" t="s">
        <v>142</v>
      </c>
      <c r="D1254" s="54">
        <v>4.1739999999999702</v>
      </c>
    </row>
    <row r="1255" spans="1:4" x14ac:dyDescent="0.25">
      <c r="A1255" s="53" t="s">
        <v>115</v>
      </c>
      <c r="B1255" s="53" t="s">
        <v>132</v>
      </c>
      <c r="C1255" s="53" t="s">
        <v>145</v>
      </c>
      <c r="D1255" s="54">
        <v>0.29699999999999999</v>
      </c>
    </row>
    <row r="1256" spans="1:4" x14ac:dyDescent="0.25">
      <c r="A1256" s="53" t="s">
        <v>115</v>
      </c>
      <c r="B1256" s="53" t="s">
        <v>132</v>
      </c>
      <c r="C1256" s="53" t="s">
        <v>119</v>
      </c>
      <c r="D1256" s="54">
        <v>306.76499999999652</v>
      </c>
    </row>
    <row r="1257" spans="1:4" x14ac:dyDescent="0.25">
      <c r="A1257" s="53" t="s">
        <v>115</v>
      </c>
      <c r="B1257" s="53" t="s">
        <v>132</v>
      </c>
      <c r="C1257" s="53" t="s">
        <v>133</v>
      </c>
      <c r="D1257" s="54">
        <v>101.1210000000049</v>
      </c>
    </row>
    <row r="1258" spans="1:4" x14ac:dyDescent="0.25">
      <c r="A1258" s="53" t="s">
        <v>115</v>
      </c>
      <c r="B1258" s="53" t="s">
        <v>132</v>
      </c>
      <c r="C1258" s="53" t="s">
        <v>130</v>
      </c>
      <c r="D1258" s="54">
        <v>239.15300000000749</v>
      </c>
    </row>
    <row r="1259" spans="1:4" x14ac:dyDescent="0.25">
      <c r="A1259" s="53" t="s">
        <v>115</v>
      </c>
      <c r="B1259" s="53" t="s">
        <v>132</v>
      </c>
      <c r="C1259" s="53" t="s">
        <v>151</v>
      </c>
      <c r="D1259" s="54">
        <v>2.069999999999951</v>
      </c>
    </row>
    <row r="1260" spans="1:4" x14ac:dyDescent="0.25">
      <c r="A1260" s="53" t="s">
        <v>115</v>
      </c>
      <c r="B1260" s="53" t="s">
        <v>132</v>
      </c>
      <c r="C1260" s="53" t="s">
        <v>153</v>
      </c>
      <c r="D1260" s="54">
        <v>15.43799999999988</v>
      </c>
    </row>
    <row r="1261" spans="1:4" x14ac:dyDescent="0.25">
      <c r="A1261" s="53" t="s">
        <v>115</v>
      </c>
      <c r="B1261" s="53" t="s">
        <v>132</v>
      </c>
      <c r="C1261" s="53" t="s">
        <v>134</v>
      </c>
      <c r="D1261" s="54">
        <v>156.41899999999961</v>
      </c>
    </row>
    <row r="1262" spans="1:4" x14ac:dyDescent="0.25">
      <c r="A1262" s="53" t="s">
        <v>115</v>
      </c>
      <c r="B1262" s="53" t="s">
        <v>132</v>
      </c>
      <c r="C1262" s="53" t="s">
        <v>136</v>
      </c>
      <c r="D1262" s="54">
        <v>200.19199999999881</v>
      </c>
    </row>
    <row r="1263" spans="1:4" x14ac:dyDescent="0.25">
      <c r="A1263" s="53" t="s">
        <v>115</v>
      </c>
      <c r="B1263" s="53" t="s">
        <v>132</v>
      </c>
      <c r="C1263" s="53" t="s">
        <v>127</v>
      </c>
      <c r="D1263" s="54">
        <v>626.15599999994799</v>
      </c>
    </row>
    <row r="1264" spans="1:4" x14ac:dyDescent="0.25">
      <c r="A1264" s="53" t="s">
        <v>115</v>
      </c>
      <c r="B1264" s="53" t="s">
        <v>132</v>
      </c>
      <c r="C1264" s="53" t="s">
        <v>160</v>
      </c>
      <c r="D1264" s="54">
        <v>0.57800000000000007</v>
      </c>
    </row>
    <row r="1265" spans="1:4" x14ac:dyDescent="0.25">
      <c r="A1265" s="53" t="s">
        <v>115</v>
      </c>
      <c r="B1265" s="53" t="s">
        <v>132</v>
      </c>
      <c r="C1265" s="53" t="s">
        <v>162</v>
      </c>
      <c r="D1265" s="54">
        <v>5.468</v>
      </c>
    </row>
    <row r="1266" spans="1:4" x14ac:dyDescent="0.25">
      <c r="A1266" s="53" t="s">
        <v>115</v>
      </c>
      <c r="B1266" s="53" t="s">
        <v>132</v>
      </c>
      <c r="C1266" s="53" t="s">
        <v>161</v>
      </c>
      <c r="D1266" s="54">
        <v>5.8600000000000296</v>
      </c>
    </row>
    <row r="1267" spans="1:4" x14ac:dyDescent="0.25">
      <c r="A1267" s="53" t="s">
        <v>115</v>
      </c>
      <c r="B1267" s="53" t="s">
        <v>132</v>
      </c>
      <c r="C1267" s="53" t="s">
        <v>164</v>
      </c>
      <c r="D1267" s="54">
        <v>3.2059999999999729</v>
      </c>
    </row>
    <row r="1268" spans="1:4" x14ac:dyDescent="0.25">
      <c r="A1268" s="53" t="s">
        <v>115</v>
      </c>
      <c r="B1268" s="53" t="s">
        <v>132</v>
      </c>
      <c r="C1268" s="53" t="s">
        <v>158</v>
      </c>
      <c r="D1268" s="54">
        <v>8.5230000000000068</v>
      </c>
    </row>
    <row r="1269" spans="1:4" x14ac:dyDescent="0.25">
      <c r="A1269" s="53" t="s">
        <v>115</v>
      </c>
      <c r="B1269" s="53" t="s">
        <v>132</v>
      </c>
      <c r="C1269" s="53" t="s">
        <v>146</v>
      </c>
      <c r="D1269" s="54">
        <v>25.809000000001991</v>
      </c>
    </row>
    <row r="1270" spans="1:4" x14ac:dyDescent="0.25">
      <c r="A1270" s="53" t="s">
        <v>115</v>
      </c>
      <c r="B1270" s="53" t="s">
        <v>132</v>
      </c>
      <c r="C1270" s="53" t="s">
        <v>140</v>
      </c>
      <c r="D1270" s="54">
        <v>88.016000000004283</v>
      </c>
    </row>
    <row r="1271" spans="1:4" x14ac:dyDescent="0.25">
      <c r="A1271" s="53" t="s">
        <v>115</v>
      </c>
      <c r="B1271" s="53" t="s">
        <v>132</v>
      </c>
      <c r="C1271" s="53" t="s">
        <v>121</v>
      </c>
      <c r="D1271" s="54">
        <v>85.293000000014828</v>
      </c>
    </row>
    <row r="1272" spans="1:4" x14ac:dyDescent="0.25">
      <c r="A1272" s="53" t="s">
        <v>115</v>
      </c>
      <c r="B1272" s="53" t="s">
        <v>132</v>
      </c>
      <c r="C1272" s="53" t="s">
        <v>129</v>
      </c>
      <c r="D1272" s="54">
        <v>5.7930000000000019</v>
      </c>
    </row>
    <row r="1273" spans="1:4" x14ac:dyDescent="0.25">
      <c r="A1273" s="53" t="s">
        <v>115</v>
      </c>
      <c r="B1273" s="53" t="s">
        <v>132</v>
      </c>
      <c r="C1273" s="53" t="s">
        <v>156</v>
      </c>
      <c r="D1273" s="54">
        <v>9.0749999999997737</v>
      </c>
    </row>
    <row r="1274" spans="1:4" x14ac:dyDescent="0.25">
      <c r="A1274" s="53" t="s">
        <v>115</v>
      </c>
      <c r="B1274" s="53" t="s">
        <v>132</v>
      </c>
      <c r="C1274" s="53" t="s">
        <v>137</v>
      </c>
      <c r="D1274" s="54">
        <v>0.67300000000000015</v>
      </c>
    </row>
    <row r="1275" spans="1:4" x14ac:dyDescent="0.25">
      <c r="A1275" s="53" t="s">
        <v>115</v>
      </c>
      <c r="B1275" s="53" t="s">
        <v>132</v>
      </c>
      <c r="C1275" s="53" t="s">
        <v>139</v>
      </c>
      <c r="D1275" s="54">
        <v>0.19400000000000009</v>
      </c>
    </row>
    <row r="1276" spans="1:4" x14ac:dyDescent="0.25">
      <c r="A1276" s="53" t="s">
        <v>115</v>
      </c>
      <c r="B1276" s="53" t="s">
        <v>132</v>
      </c>
      <c r="C1276" s="53" t="s">
        <v>166</v>
      </c>
      <c r="D1276" s="54">
        <v>0.58100000000000007</v>
      </c>
    </row>
    <row r="1277" spans="1:4" x14ac:dyDescent="0.25">
      <c r="A1277" s="53" t="s">
        <v>115</v>
      </c>
      <c r="B1277" s="53" t="s">
        <v>132</v>
      </c>
      <c r="C1277" s="53" t="s">
        <v>135</v>
      </c>
      <c r="D1277" s="54">
        <v>85.21200000000195</v>
      </c>
    </row>
    <row r="1278" spans="1:4" x14ac:dyDescent="0.25">
      <c r="A1278" s="53" t="s">
        <v>115</v>
      </c>
      <c r="B1278" s="53" t="s">
        <v>132</v>
      </c>
      <c r="C1278" s="53" t="s">
        <v>124</v>
      </c>
      <c r="D1278" s="54">
        <v>332.93599999999259</v>
      </c>
    </row>
    <row r="1279" spans="1:4" x14ac:dyDescent="0.25">
      <c r="A1279" s="53" t="s">
        <v>115</v>
      </c>
      <c r="B1279" s="53" t="s">
        <v>132</v>
      </c>
      <c r="C1279" s="53" t="s">
        <v>167</v>
      </c>
      <c r="D1279" s="54">
        <v>1E-3</v>
      </c>
    </row>
    <row r="1280" spans="1:4" x14ac:dyDescent="0.25">
      <c r="A1280" s="53" t="s">
        <v>115</v>
      </c>
      <c r="B1280" s="53" t="s">
        <v>132</v>
      </c>
      <c r="C1280" s="53" t="s">
        <v>155</v>
      </c>
      <c r="D1280" s="54">
        <v>8.2180000000000337</v>
      </c>
    </row>
    <row r="1281" spans="1:4" x14ac:dyDescent="0.25">
      <c r="A1281" s="53" t="s">
        <v>115</v>
      </c>
      <c r="B1281" s="53" t="s">
        <v>132</v>
      </c>
      <c r="C1281" s="53" t="s">
        <v>154</v>
      </c>
      <c r="D1281" s="54">
        <v>10.274999999999791</v>
      </c>
    </row>
    <row r="1282" spans="1:4" x14ac:dyDescent="0.25">
      <c r="A1282" s="53" t="s">
        <v>115</v>
      </c>
      <c r="B1282" s="53" t="s">
        <v>132</v>
      </c>
      <c r="C1282" s="53" t="s">
        <v>143</v>
      </c>
      <c r="D1282" s="54">
        <v>71.749999999992539</v>
      </c>
    </row>
    <row r="1283" spans="1:4" x14ac:dyDescent="0.25">
      <c r="A1283" s="53" t="s">
        <v>115</v>
      </c>
      <c r="B1283" s="53" t="s">
        <v>132</v>
      </c>
      <c r="C1283" s="53" t="s">
        <v>122</v>
      </c>
      <c r="D1283" s="54">
        <v>263.12699999998449</v>
      </c>
    </row>
    <row r="1284" spans="1:4" x14ac:dyDescent="0.25">
      <c r="A1284" s="53" t="s">
        <v>115</v>
      </c>
      <c r="B1284" s="53" t="s">
        <v>132</v>
      </c>
      <c r="C1284" s="53" t="s">
        <v>152</v>
      </c>
      <c r="D1284" s="54">
        <v>24.44300000000084</v>
      </c>
    </row>
    <row r="1285" spans="1:4" x14ac:dyDescent="0.25">
      <c r="A1285" s="53" t="s">
        <v>115</v>
      </c>
      <c r="B1285" s="53" t="s">
        <v>132</v>
      </c>
      <c r="C1285" s="53" t="s">
        <v>126</v>
      </c>
      <c r="D1285" s="54">
        <v>70.784000000000859</v>
      </c>
    </row>
    <row r="1286" spans="1:4" x14ac:dyDescent="0.25">
      <c r="A1286" s="53" t="s">
        <v>115</v>
      </c>
      <c r="B1286" s="53" t="s">
        <v>132</v>
      </c>
      <c r="C1286" s="53" t="s">
        <v>131</v>
      </c>
      <c r="D1286" s="54">
        <v>122.5360000000021</v>
      </c>
    </row>
    <row r="1287" spans="1:4" x14ac:dyDescent="0.25">
      <c r="A1287" s="53" t="s">
        <v>115</v>
      </c>
      <c r="B1287" s="53" t="s">
        <v>132</v>
      </c>
      <c r="C1287" s="53" t="s">
        <v>165</v>
      </c>
      <c r="D1287" s="54">
        <v>3.9000000000000021E-2</v>
      </c>
    </row>
    <row r="1288" spans="1:4" x14ac:dyDescent="0.25">
      <c r="A1288" s="53" t="s">
        <v>115</v>
      </c>
      <c r="B1288" s="53" t="s">
        <v>132</v>
      </c>
      <c r="C1288" s="53" t="s">
        <v>168</v>
      </c>
      <c r="D1288" s="54">
        <v>3.8000000000000013E-2</v>
      </c>
    </row>
    <row r="1289" spans="1:4" x14ac:dyDescent="0.25">
      <c r="A1289" s="53" t="s">
        <v>115</v>
      </c>
      <c r="B1289" s="53" t="s">
        <v>168</v>
      </c>
      <c r="C1289" s="53" t="s">
        <v>119</v>
      </c>
      <c r="D1289" s="54">
        <v>1E-3</v>
      </c>
    </row>
    <row r="1290" spans="1:4" x14ac:dyDescent="0.25">
      <c r="A1290" s="53" t="s">
        <v>115</v>
      </c>
      <c r="B1290" s="53" t="s">
        <v>168</v>
      </c>
      <c r="C1290" s="53" t="s">
        <v>136</v>
      </c>
      <c r="D1290" s="54">
        <v>3.0000000000000001E-3</v>
      </c>
    </row>
    <row r="1291" spans="1:4" x14ac:dyDescent="0.25">
      <c r="A1291" s="53" t="s">
        <v>115</v>
      </c>
      <c r="B1291" s="53" t="s">
        <v>168</v>
      </c>
      <c r="C1291" s="53" t="s">
        <v>127</v>
      </c>
      <c r="D1291" s="54">
        <v>8.0000000000000002E-3</v>
      </c>
    </row>
    <row r="1292" spans="1:4" x14ac:dyDescent="0.25">
      <c r="A1292" s="53" t="s">
        <v>115</v>
      </c>
      <c r="B1292" s="53" t="s">
        <v>168</v>
      </c>
      <c r="C1292" s="53" t="s">
        <v>124</v>
      </c>
      <c r="D1292" s="54">
        <v>1.7270000000000001</v>
      </c>
    </row>
    <row r="1293" spans="1:4" x14ac:dyDescent="0.25">
      <c r="A1293" s="53" t="s">
        <v>118</v>
      </c>
      <c r="B1293" s="53" t="s">
        <v>119</v>
      </c>
      <c r="C1293" s="53" t="s">
        <v>120</v>
      </c>
      <c r="D1293" s="54">
        <v>77.012000000000199</v>
      </c>
    </row>
    <row r="1294" spans="1:4" x14ac:dyDescent="0.25">
      <c r="A1294" s="53" t="s">
        <v>118</v>
      </c>
      <c r="B1294" s="53" t="s">
        <v>119</v>
      </c>
      <c r="C1294" s="53" t="s">
        <v>142</v>
      </c>
      <c r="D1294" s="54">
        <v>4.8719999999999866</v>
      </c>
    </row>
    <row r="1295" spans="1:4" x14ac:dyDescent="0.25">
      <c r="A1295" s="53" t="s">
        <v>118</v>
      </c>
      <c r="B1295" s="53" t="s">
        <v>119</v>
      </c>
      <c r="C1295" s="53" t="s">
        <v>145</v>
      </c>
      <c r="D1295" s="54">
        <v>12.563000000000001</v>
      </c>
    </row>
    <row r="1296" spans="1:4" x14ac:dyDescent="0.25">
      <c r="A1296" s="53" t="s">
        <v>118</v>
      </c>
      <c r="B1296" s="53" t="s">
        <v>119</v>
      </c>
      <c r="C1296" s="53" t="s">
        <v>119</v>
      </c>
      <c r="D1296" s="54">
        <v>14.433999999999999</v>
      </c>
    </row>
    <row r="1297" spans="1:4" x14ac:dyDescent="0.25">
      <c r="A1297" s="53" t="s">
        <v>118</v>
      </c>
      <c r="B1297" s="53" t="s">
        <v>119</v>
      </c>
      <c r="C1297" s="53" t="s">
        <v>133</v>
      </c>
      <c r="D1297" s="54">
        <v>28.71000000000009</v>
      </c>
    </row>
    <row r="1298" spans="1:4" x14ac:dyDescent="0.25">
      <c r="A1298" s="53" t="s">
        <v>118</v>
      </c>
      <c r="B1298" s="53" t="s">
        <v>119</v>
      </c>
      <c r="C1298" s="53" t="s">
        <v>149</v>
      </c>
      <c r="D1298" s="54">
        <v>12.934999999999979</v>
      </c>
    </row>
    <row r="1299" spans="1:4" x14ac:dyDescent="0.25">
      <c r="A1299" s="53" t="s">
        <v>118</v>
      </c>
      <c r="B1299" s="53" t="s">
        <v>119</v>
      </c>
      <c r="C1299" s="53" t="s">
        <v>130</v>
      </c>
      <c r="D1299" s="54">
        <v>46.950999999999759</v>
      </c>
    </row>
    <row r="1300" spans="1:4" x14ac:dyDescent="0.25">
      <c r="A1300" s="53" t="s">
        <v>118</v>
      </c>
      <c r="B1300" s="53" t="s">
        <v>119</v>
      </c>
      <c r="C1300" s="53" t="s">
        <v>151</v>
      </c>
      <c r="D1300" s="54">
        <v>1.2869999999999859</v>
      </c>
    </row>
    <row r="1301" spans="1:4" x14ac:dyDescent="0.25">
      <c r="A1301" s="53" t="s">
        <v>118</v>
      </c>
      <c r="B1301" s="53" t="s">
        <v>119</v>
      </c>
      <c r="C1301" s="53" t="s">
        <v>153</v>
      </c>
      <c r="D1301" s="54">
        <v>0.55600000000000038</v>
      </c>
    </row>
    <row r="1302" spans="1:4" x14ac:dyDescent="0.25">
      <c r="A1302" s="53" t="s">
        <v>118</v>
      </c>
      <c r="B1302" s="53" t="s">
        <v>119</v>
      </c>
      <c r="C1302" s="53" t="s">
        <v>134</v>
      </c>
      <c r="D1302" s="54">
        <v>18.864000000000001</v>
      </c>
    </row>
    <row r="1303" spans="1:4" x14ac:dyDescent="0.25">
      <c r="A1303" s="53" t="s">
        <v>118</v>
      </c>
      <c r="B1303" s="53" t="s">
        <v>119</v>
      </c>
      <c r="C1303" s="53" t="s">
        <v>136</v>
      </c>
      <c r="D1303" s="54">
        <v>43.40300000000002</v>
      </c>
    </row>
    <row r="1304" spans="1:4" x14ac:dyDescent="0.25">
      <c r="A1304" s="53" t="s">
        <v>118</v>
      </c>
      <c r="B1304" s="53" t="s">
        <v>119</v>
      </c>
      <c r="C1304" s="53" t="s">
        <v>127</v>
      </c>
      <c r="D1304" s="54">
        <v>138.4200000000005</v>
      </c>
    </row>
    <row r="1305" spans="1:4" x14ac:dyDescent="0.25">
      <c r="A1305" s="53" t="s">
        <v>118</v>
      </c>
      <c r="B1305" s="53" t="s">
        <v>119</v>
      </c>
      <c r="C1305" s="53" t="s">
        <v>160</v>
      </c>
      <c r="D1305" s="54">
        <v>0.16000000000000009</v>
      </c>
    </row>
    <row r="1306" spans="1:4" x14ac:dyDescent="0.25">
      <c r="A1306" s="53" t="s">
        <v>118</v>
      </c>
      <c r="B1306" s="53" t="s">
        <v>119</v>
      </c>
      <c r="C1306" s="53" t="s">
        <v>144</v>
      </c>
      <c r="D1306" s="54">
        <v>72.212000000000074</v>
      </c>
    </row>
    <row r="1307" spans="1:4" x14ac:dyDescent="0.25">
      <c r="A1307" s="53" t="s">
        <v>118</v>
      </c>
      <c r="B1307" s="53" t="s">
        <v>119</v>
      </c>
      <c r="C1307" s="53" t="s">
        <v>162</v>
      </c>
      <c r="D1307" s="54">
        <v>1.4309999999999929</v>
      </c>
    </row>
    <row r="1308" spans="1:4" x14ac:dyDescent="0.25">
      <c r="A1308" s="53" t="s">
        <v>118</v>
      </c>
      <c r="B1308" s="53" t="s">
        <v>119</v>
      </c>
      <c r="C1308" s="53" t="s">
        <v>161</v>
      </c>
      <c r="D1308" s="54">
        <v>3.978999999999973</v>
      </c>
    </row>
    <row r="1309" spans="1:4" x14ac:dyDescent="0.25">
      <c r="A1309" s="53" t="s">
        <v>118</v>
      </c>
      <c r="B1309" s="53" t="s">
        <v>119</v>
      </c>
      <c r="C1309" s="53" t="s">
        <v>163</v>
      </c>
      <c r="D1309" s="54">
        <v>4.4299999999999846</v>
      </c>
    </row>
    <row r="1310" spans="1:4" x14ac:dyDescent="0.25">
      <c r="A1310" s="53" t="s">
        <v>118</v>
      </c>
      <c r="B1310" s="53" t="s">
        <v>119</v>
      </c>
      <c r="C1310" s="53" t="s">
        <v>141</v>
      </c>
      <c r="D1310" s="54">
        <v>94.997000000000057</v>
      </c>
    </row>
    <row r="1311" spans="1:4" x14ac:dyDescent="0.25">
      <c r="A1311" s="53" t="s">
        <v>118</v>
      </c>
      <c r="B1311" s="53" t="s">
        <v>119</v>
      </c>
      <c r="C1311" s="53" t="s">
        <v>147</v>
      </c>
      <c r="D1311" s="54">
        <v>53.588999999999992</v>
      </c>
    </row>
    <row r="1312" spans="1:4" x14ac:dyDescent="0.25">
      <c r="A1312" s="53" t="s">
        <v>118</v>
      </c>
      <c r="B1312" s="53" t="s">
        <v>119</v>
      </c>
      <c r="C1312" s="53" t="s">
        <v>164</v>
      </c>
      <c r="D1312" s="54">
        <v>0.23100000000000001</v>
      </c>
    </row>
    <row r="1313" spans="1:4" x14ac:dyDescent="0.25">
      <c r="A1313" s="53" t="s">
        <v>118</v>
      </c>
      <c r="B1313" s="53" t="s">
        <v>119</v>
      </c>
      <c r="C1313" s="53" t="s">
        <v>158</v>
      </c>
      <c r="D1313" s="54">
        <v>2.8309999999999582</v>
      </c>
    </row>
    <row r="1314" spans="1:4" x14ac:dyDescent="0.25">
      <c r="A1314" s="53" t="s">
        <v>118</v>
      </c>
      <c r="B1314" s="53" t="s">
        <v>119</v>
      </c>
      <c r="C1314" s="53" t="s">
        <v>146</v>
      </c>
      <c r="D1314" s="54">
        <v>14.78699999999988</v>
      </c>
    </row>
    <row r="1315" spans="1:4" x14ac:dyDescent="0.25">
      <c r="A1315" s="53" t="s">
        <v>118</v>
      </c>
      <c r="B1315" s="53" t="s">
        <v>119</v>
      </c>
      <c r="C1315" s="53" t="s">
        <v>140</v>
      </c>
      <c r="D1315" s="54">
        <v>3.5229999999999948</v>
      </c>
    </row>
    <row r="1316" spans="1:4" x14ac:dyDescent="0.25">
      <c r="A1316" s="53" t="s">
        <v>118</v>
      </c>
      <c r="B1316" s="53" t="s">
        <v>119</v>
      </c>
      <c r="C1316" s="53" t="s">
        <v>121</v>
      </c>
      <c r="D1316" s="54">
        <v>14.240999999999881</v>
      </c>
    </row>
    <row r="1317" spans="1:4" x14ac:dyDescent="0.25">
      <c r="A1317" s="53" t="s">
        <v>118</v>
      </c>
      <c r="B1317" s="53" t="s">
        <v>119</v>
      </c>
      <c r="C1317" s="53" t="s">
        <v>159</v>
      </c>
      <c r="D1317" s="54">
        <v>2.3379999999999899</v>
      </c>
    </row>
    <row r="1318" spans="1:4" x14ac:dyDescent="0.25">
      <c r="A1318" s="53" t="s">
        <v>118</v>
      </c>
      <c r="B1318" s="53" t="s">
        <v>119</v>
      </c>
      <c r="C1318" s="53" t="s">
        <v>129</v>
      </c>
      <c r="D1318" s="54">
        <v>490.01399999999342</v>
      </c>
    </row>
    <row r="1319" spans="1:4" x14ac:dyDescent="0.25">
      <c r="A1319" s="53" t="s">
        <v>118</v>
      </c>
      <c r="B1319" s="53" t="s">
        <v>119</v>
      </c>
      <c r="C1319" s="53" t="s">
        <v>128</v>
      </c>
      <c r="D1319" s="54">
        <v>226.4019999999999</v>
      </c>
    </row>
    <row r="1320" spans="1:4" x14ac:dyDescent="0.25">
      <c r="A1320" s="53" t="s">
        <v>118</v>
      </c>
      <c r="B1320" s="53" t="s">
        <v>119</v>
      </c>
      <c r="C1320" s="53" t="s">
        <v>156</v>
      </c>
      <c r="D1320" s="54">
        <v>3.277999999999976</v>
      </c>
    </row>
    <row r="1321" spans="1:4" x14ac:dyDescent="0.25">
      <c r="A1321" s="53" t="s">
        <v>118</v>
      </c>
      <c r="B1321" s="53" t="s">
        <v>119</v>
      </c>
      <c r="C1321" s="53" t="s">
        <v>137</v>
      </c>
      <c r="D1321" s="54">
        <v>185.751</v>
      </c>
    </row>
    <row r="1322" spans="1:4" x14ac:dyDescent="0.25">
      <c r="A1322" s="53" t="s">
        <v>118</v>
      </c>
      <c r="B1322" s="53" t="s">
        <v>119</v>
      </c>
      <c r="C1322" s="53" t="s">
        <v>139</v>
      </c>
      <c r="D1322" s="54">
        <v>9.1219999999999963</v>
      </c>
    </row>
    <row r="1323" spans="1:4" x14ac:dyDescent="0.25">
      <c r="A1323" s="53" t="s">
        <v>118</v>
      </c>
      <c r="B1323" s="53" t="s">
        <v>119</v>
      </c>
      <c r="C1323" s="53" t="s">
        <v>123</v>
      </c>
      <c r="D1323" s="54">
        <v>245.875</v>
      </c>
    </row>
    <row r="1324" spans="1:4" x14ac:dyDescent="0.25">
      <c r="A1324" s="53" t="s">
        <v>118</v>
      </c>
      <c r="B1324" s="53" t="s">
        <v>119</v>
      </c>
      <c r="C1324" s="53" t="s">
        <v>166</v>
      </c>
      <c r="D1324" s="54">
        <v>1.500000000000001E-2</v>
      </c>
    </row>
    <row r="1325" spans="1:4" x14ac:dyDescent="0.25">
      <c r="A1325" s="53" t="s">
        <v>118</v>
      </c>
      <c r="B1325" s="53" t="s">
        <v>119</v>
      </c>
      <c r="C1325" s="53" t="s">
        <v>148</v>
      </c>
      <c r="D1325" s="54">
        <v>19.562999999999999</v>
      </c>
    </row>
    <row r="1326" spans="1:4" x14ac:dyDescent="0.25">
      <c r="A1326" s="53" t="s">
        <v>118</v>
      </c>
      <c r="B1326" s="53" t="s">
        <v>119</v>
      </c>
      <c r="C1326" s="53" t="s">
        <v>135</v>
      </c>
      <c r="D1326" s="54">
        <v>12.87899999999998</v>
      </c>
    </row>
    <row r="1327" spans="1:4" x14ac:dyDescent="0.25">
      <c r="A1327" s="53" t="s">
        <v>118</v>
      </c>
      <c r="B1327" s="53" t="s">
        <v>119</v>
      </c>
      <c r="C1327" s="53" t="s">
        <v>124</v>
      </c>
      <c r="D1327" s="54">
        <v>19.866</v>
      </c>
    </row>
    <row r="1328" spans="1:4" x14ac:dyDescent="0.25">
      <c r="A1328" s="53" t="s">
        <v>118</v>
      </c>
      <c r="B1328" s="53" t="s">
        <v>119</v>
      </c>
      <c r="C1328" s="53" t="s">
        <v>167</v>
      </c>
      <c r="D1328" s="54">
        <v>4.7000000000000028E-2</v>
      </c>
    </row>
    <row r="1329" spans="1:4" x14ac:dyDescent="0.25">
      <c r="A1329" s="53" t="s">
        <v>118</v>
      </c>
      <c r="B1329" s="53" t="s">
        <v>119</v>
      </c>
      <c r="C1329" s="53" t="s">
        <v>155</v>
      </c>
      <c r="D1329" s="54">
        <v>2.8849999999999851</v>
      </c>
    </row>
    <row r="1330" spans="1:4" x14ac:dyDescent="0.25">
      <c r="A1330" s="53" t="s">
        <v>118</v>
      </c>
      <c r="B1330" s="53" t="s">
        <v>119</v>
      </c>
      <c r="C1330" s="53" t="s">
        <v>150</v>
      </c>
      <c r="D1330" s="54">
        <v>1.504</v>
      </c>
    </row>
    <row r="1331" spans="1:4" x14ac:dyDescent="0.25">
      <c r="A1331" s="53" t="s">
        <v>118</v>
      </c>
      <c r="B1331" s="53" t="s">
        <v>119</v>
      </c>
      <c r="C1331" s="53" t="s">
        <v>154</v>
      </c>
      <c r="D1331" s="54">
        <v>5.5160000000000382</v>
      </c>
    </row>
    <row r="1332" spans="1:4" x14ac:dyDescent="0.25">
      <c r="A1332" s="53" t="s">
        <v>118</v>
      </c>
      <c r="B1332" s="53" t="s">
        <v>119</v>
      </c>
      <c r="C1332" s="53" t="s">
        <v>143</v>
      </c>
      <c r="D1332" s="54">
        <v>15.42299999999979</v>
      </c>
    </row>
    <row r="1333" spans="1:4" x14ac:dyDescent="0.25">
      <c r="A1333" s="53" t="s">
        <v>118</v>
      </c>
      <c r="B1333" s="53" t="s">
        <v>119</v>
      </c>
      <c r="C1333" s="53" t="s">
        <v>138</v>
      </c>
      <c r="D1333" s="54">
        <v>15.519999999999991</v>
      </c>
    </row>
    <row r="1334" spans="1:4" x14ac:dyDescent="0.25">
      <c r="A1334" s="53" t="s">
        <v>118</v>
      </c>
      <c r="B1334" s="53" t="s">
        <v>119</v>
      </c>
      <c r="C1334" s="53" t="s">
        <v>157</v>
      </c>
      <c r="D1334" s="54">
        <v>18.633999999999968</v>
      </c>
    </row>
    <row r="1335" spans="1:4" x14ac:dyDescent="0.25">
      <c r="A1335" s="53" t="s">
        <v>118</v>
      </c>
      <c r="B1335" s="53" t="s">
        <v>119</v>
      </c>
      <c r="C1335" s="53" t="s">
        <v>170</v>
      </c>
      <c r="D1335" s="54">
        <v>9.2000000000000012E-2</v>
      </c>
    </row>
    <row r="1336" spans="1:4" x14ac:dyDescent="0.25">
      <c r="A1336" s="53" t="s">
        <v>118</v>
      </c>
      <c r="B1336" s="53" t="s">
        <v>119</v>
      </c>
      <c r="C1336" s="53" t="s">
        <v>125</v>
      </c>
      <c r="D1336" s="54">
        <v>230.00000000000011</v>
      </c>
    </row>
    <row r="1337" spans="1:4" x14ac:dyDescent="0.25">
      <c r="A1337" s="53" t="s">
        <v>118</v>
      </c>
      <c r="B1337" s="53" t="s">
        <v>119</v>
      </c>
      <c r="C1337" s="53" t="s">
        <v>122</v>
      </c>
      <c r="D1337" s="54">
        <v>48.80200000000017</v>
      </c>
    </row>
    <row r="1338" spans="1:4" x14ac:dyDescent="0.25">
      <c r="A1338" s="53" t="s">
        <v>118</v>
      </c>
      <c r="B1338" s="53" t="s">
        <v>119</v>
      </c>
      <c r="C1338" s="53" t="s">
        <v>152</v>
      </c>
      <c r="D1338" s="54">
        <v>10.432999999999989</v>
      </c>
    </row>
    <row r="1339" spans="1:4" x14ac:dyDescent="0.25">
      <c r="A1339" s="53" t="s">
        <v>118</v>
      </c>
      <c r="B1339" s="53" t="s">
        <v>119</v>
      </c>
      <c r="C1339" s="53" t="s">
        <v>126</v>
      </c>
      <c r="D1339" s="54">
        <v>184.13099999999889</v>
      </c>
    </row>
    <row r="1340" spans="1:4" x14ac:dyDescent="0.25">
      <c r="A1340" s="53" t="s">
        <v>118</v>
      </c>
      <c r="B1340" s="53" t="s">
        <v>119</v>
      </c>
      <c r="C1340" s="53" t="s">
        <v>131</v>
      </c>
      <c r="D1340" s="54">
        <v>11.456</v>
      </c>
    </row>
    <row r="1341" spans="1:4" x14ac:dyDescent="0.25">
      <c r="A1341" s="53" t="s">
        <v>118</v>
      </c>
      <c r="B1341" s="53" t="s">
        <v>119</v>
      </c>
      <c r="C1341" s="53" t="s">
        <v>165</v>
      </c>
      <c r="D1341" s="54">
        <v>4.6000000000000013E-2</v>
      </c>
    </row>
    <row r="1342" spans="1:4" x14ac:dyDescent="0.25">
      <c r="A1342" s="53" t="s">
        <v>118</v>
      </c>
      <c r="B1342" s="53" t="s">
        <v>119</v>
      </c>
      <c r="C1342" s="53" t="s">
        <v>132</v>
      </c>
      <c r="D1342" s="54">
        <v>255.57100000000011</v>
      </c>
    </row>
    <row r="1343" spans="1:4" x14ac:dyDescent="0.25">
      <c r="A1343" s="53" t="s">
        <v>118</v>
      </c>
      <c r="B1343" s="53" t="s">
        <v>119</v>
      </c>
      <c r="C1343" s="53" t="s">
        <v>168</v>
      </c>
      <c r="D1343" s="54">
        <v>1E-3</v>
      </c>
    </row>
    <row r="1344" spans="1:4" x14ac:dyDescent="0.25">
      <c r="A1344" s="53" t="s">
        <v>118</v>
      </c>
      <c r="B1344" s="53" t="s">
        <v>149</v>
      </c>
      <c r="C1344" s="53" t="s">
        <v>120</v>
      </c>
      <c r="D1344" s="54">
        <v>9.0000000000000011E-3</v>
      </c>
    </row>
    <row r="1345" spans="1:4" x14ac:dyDescent="0.25">
      <c r="A1345" s="53" t="s">
        <v>118</v>
      </c>
      <c r="B1345" s="53" t="s">
        <v>149</v>
      </c>
      <c r="C1345" s="53" t="s">
        <v>133</v>
      </c>
      <c r="D1345" s="54">
        <v>2E-3</v>
      </c>
    </row>
    <row r="1346" spans="1:4" x14ac:dyDescent="0.25">
      <c r="A1346" s="53" t="s">
        <v>118</v>
      </c>
      <c r="B1346" s="53" t="s">
        <v>149</v>
      </c>
      <c r="C1346" s="53" t="s">
        <v>134</v>
      </c>
      <c r="D1346" s="54">
        <v>0.03</v>
      </c>
    </row>
    <row r="1347" spans="1:4" x14ac:dyDescent="0.25">
      <c r="A1347" s="53" t="s">
        <v>118</v>
      </c>
      <c r="B1347" s="53" t="s">
        <v>149</v>
      </c>
      <c r="C1347" s="53" t="s">
        <v>136</v>
      </c>
      <c r="D1347" s="54">
        <v>1E-3</v>
      </c>
    </row>
    <row r="1348" spans="1:4" x14ac:dyDescent="0.25">
      <c r="A1348" s="53" t="s">
        <v>118</v>
      </c>
      <c r="B1348" s="53" t="s">
        <v>149</v>
      </c>
      <c r="C1348" s="53" t="s">
        <v>127</v>
      </c>
      <c r="D1348" s="54">
        <v>1.2999999999999999E-2</v>
      </c>
    </row>
    <row r="1349" spans="1:4" x14ac:dyDescent="0.25">
      <c r="A1349" s="53" t="s">
        <v>118</v>
      </c>
      <c r="B1349" s="53" t="s">
        <v>149</v>
      </c>
      <c r="C1349" s="53" t="s">
        <v>122</v>
      </c>
      <c r="D1349" s="54">
        <v>3.0000000000000001E-3</v>
      </c>
    </row>
    <row r="1350" spans="1:4" x14ac:dyDescent="0.25">
      <c r="A1350" s="53" t="s">
        <v>118</v>
      </c>
      <c r="B1350" s="53" t="s">
        <v>149</v>
      </c>
      <c r="C1350" s="53" t="s">
        <v>126</v>
      </c>
      <c r="D1350" s="54">
        <v>1E-3</v>
      </c>
    </row>
    <row r="1351" spans="1:4" x14ac:dyDescent="0.25">
      <c r="A1351" s="53" t="s">
        <v>118</v>
      </c>
      <c r="B1351" s="53" t="s">
        <v>141</v>
      </c>
      <c r="C1351" s="53" t="s">
        <v>159</v>
      </c>
      <c r="D1351" s="54">
        <v>8.0000000000000002E-3</v>
      </c>
    </row>
    <row r="1352" spans="1:4" x14ac:dyDescent="0.25">
      <c r="A1352" s="53" t="s">
        <v>118</v>
      </c>
      <c r="B1352" s="53" t="s">
        <v>147</v>
      </c>
      <c r="C1352" s="53" t="s">
        <v>119</v>
      </c>
      <c r="D1352" s="54">
        <v>1.2999999999999999E-2</v>
      </c>
    </row>
    <row r="1353" spans="1:4" x14ac:dyDescent="0.25">
      <c r="A1353" s="53" t="s">
        <v>118</v>
      </c>
      <c r="B1353" s="53" t="s">
        <v>147</v>
      </c>
      <c r="C1353" s="53" t="s">
        <v>147</v>
      </c>
      <c r="D1353" s="54">
        <v>0.14499999999999999</v>
      </c>
    </row>
    <row r="1354" spans="1:4" x14ac:dyDescent="0.25">
      <c r="A1354" s="53" t="s">
        <v>118</v>
      </c>
      <c r="B1354" s="53" t="s">
        <v>147</v>
      </c>
      <c r="C1354" s="53" t="s">
        <v>123</v>
      </c>
      <c r="D1354" s="54">
        <v>0.311</v>
      </c>
    </row>
    <row r="1355" spans="1:4" x14ac:dyDescent="0.25">
      <c r="A1355" s="53" t="s">
        <v>118</v>
      </c>
      <c r="B1355" s="53" t="s">
        <v>147</v>
      </c>
      <c r="C1355" s="53" t="s">
        <v>125</v>
      </c>
      <c r="D1355" s="54">
        <v>3.5999999999999997E-2</v>
      </c>
    </row>
    <row r="1356" spans="1:4" x14ac:dyDescent="0.25">
      <c r="A1356" s="53" t="s">
        <v>118</v>
      </c>
      <c r="B1356" s="53" t="s">
        <v>124</v>
      </c>
      <c r="C1356" s="53" t="s">
        <v>120</v>
      </c>
      <c r="D1356" s="54">
        <v>6.6649999999999991</v>
      </c>
    </row>
    <row r="1357" spans="1:4" x14ac:dyDescent="0.25">
      <c r="A1357" s="53" t="s">
        <v>118</v>
      </c>
      <c r="B1357" s="53" t="s">
        <v>124</v>
      </c>
      <c r="C1357" s="53" t="s">
        <v>142</v>
      </c>
      <c r="D1357" s="54">
        <v>0.25000000000000011</v>
      </c>
    </row>
    <row r="1358" spans="1:4" x14ac:dyDescent="0.25">
      <c r="A1358" s="53" t="s">
        <v>118</v>
      </c>
      <c r="B1358" s="53" t="s">
        <v>124</v>
      </c>
      <c r="C1358" s="53" t="s">
        <v>145</v>
      </c>
      <c r="D1358" s="54">
        <v>1.968999999999995</v>
      </c>
    </row>
    <row r="1359" spans="1:4" x14ac:dyDescent="0.25">
      <c r="A1359" s="53" t="s">
        <v>118</v>
      </c>
      <c r="B1359" s="53" t="s">
        <v>124</v>
      </c>
      <c r="C1359" s="53" t="s">
        <v>119</v>
      </c>
      <c r="D1359" s="54">
        <v>3.3369999999999971</v>
      </c>
    </row>
    <row r="1360" spans="1:4" x14ac:dyDescent="0.25">
      <c r="A1360" s="53" t="s">
        <v>118</v>
      </c>
      <c r="B1360" s="53" t="s">
        <v>124</v>
      </c>
      <c r="C1360" s="53" t="s">
        <v>133</v>
      </c>
      <c r="D1360" s="54">
        <v>1.8649999999999931</v>
      </c>
    </row>
    <row r="1361" spans="1:4" x14ac:dyDescent="0.25">
      <c r="A1361" s="53" t="s">
        <v>118</v>
      </c>
      <c r="B1361" s="53" t="s">
        <v>124</v>
      </c>
      <c r="C1361" s="53" t="s">
        <v>149</v>
      </c>
      <c r="D1361" s="54">
        <v>3.0609999999999782</v>
      </c>
    </row>
    <row r="1362" spans="1:4" x14ac:dyDescent="0.25">
      <c r="A1362" s="53" t="s">
        <v>118</v>
      </c>
      <c r="B1362" s="53" t="s">
        <v>124</v>
      </c>
      <c r="C1362" s="53" t="s">
        <v>130</v>
      </c>
      <c r="D1362" s="54">
        <v>3.2379999999999942</v>
      </c>
    </row>
    <row r="1363" spans="1:4" x14ac:dyDescent="0.25">
      <c r="A1363" s="53" t="s">
        <v>118</v>
      </c>
      <c r="B1363" s="53" t="s">
        <v>124</v>
      </c>
      <c r="C1363" s="53" t="s">
        <v>151</v>
      </c>
      <c r="D1363" s="54">
        <v>7.0000000000000007E-2</v>
      </c>
    </row>
    <row r="1364" spans="1:4" x14ac:dyDescent="0.25">
      <c r="A1364" s="53" t="s">
        <v>118</v>
      </c>
      <c r="B1364" s="53" t="s">
        <v>124</v>
      </c>
      <c r="C1364" s="53" t="s">
        <v>153</v>
      </c>
      <c r="D1364" s="54">
        <v>8.0000000000000016E-2</v>
      </c>
    </row>
    <row r="1365" spans="1:4" x14ac:dyDescent="0.25">
      <c r="A1365" s="53" t="s">
        <v>118</v>
      </c>
      <c r="B1365" s="53" t="s">
        <v>124</v>
      </c>
      <c r="C1365" s="53" t="s">
        <v>134</v>
      </c>
      <c r="D1365" s="54">
        <v>3.633</v>
      </c>
    </row>
    <row r="1366" spans="1:4" x14ac:dyDescent="0.25">
      <c r="A1366" s="53" t="s">
        <v>118</v>
      </c>
      <c r="B1366" s="53" t="s">
        <v>124</v>
      </c>
      <c r="C1366" s="53" t="s">
        <v>136</v>
      </c>
      <c r="D1366" s="54">
        <v>7.7279999999999998</v>
      </c>
    </row>
    <row r="1367" spans="1:4" x14ac:dyDescent="0.25">
      <c r="A1367" s="53" t="s">
        <v>118</v>
      </c>
      <c r="B1367" s="53" t="s">
        <v>124</v>
      </c>
      <c r="C1367" s="53" t="s">
        <v>127</v>
      </c>
      <c r="D1367" s="54">
        <v>12.208</v>
      </c>
    </row>
    <row r="1368" spans="1:4" x14ac:dyDescent="0.25">
      <c r="A1368" s="53" t="s">
        <v>118</v>
      </c>
      <c r="B1368" s="53" t="s">
        <v>124</v>
      </c>
      <c r="C1368" s="53" t="s">
        <v>160</v>
      </c>
      <c r="D1368" s="54">
        <v>1.0999999999999999E-2</v>
      </c>
    </row>
    <row r="1369" spans="1:4" x14ac:dyDescent="0.25">
      <c r="A1369" s="53" t="s">
        <v>118</v>
      </c>
      <c r="B1369" s="53" t="s">
        <v>124</v>
      </c>
      <c r="C1369" s="53" t="s">
        <v>144</v>
      </c>
      <c r="D1369" s="54">
        <v>14.946999999999999</v>
      </c>
    </row>
    <row r="1370" spans="1:4" x14ac:dyDescent="0.25">
      <c r="A1370" s="53" t="s">
        <v>118</v>
      </c>
      <c r="B1370" s="53" t="s">
        <v>124</v>
      </c>
      <c r="C1370" s="53" t="s">
        <v>162</v>
      </c>
      <c r="D1370" s="54">
        <v>7.9000000000000015E-2</v>
      </c>
    </row>
    <row r="1371" spans="1:4" x14ac:dyDescent="0.25">
      <c r="A1371" s="53" t="s">
        <v>118</v>
      </c>
      <c r="B1371" s="53" t="s">
        <v>124</v>
      </c>
      <c r="C1371" s="53" t="s">
        <v>161</v>
      </c>
      <c r="D1371" s="54">
        <v>0.22300000000000009</v>
      </c>
    </row>
    <row r="1372" spans="1:4" x14ac:dyDescent="0.25">
      <c r="A1372" s="53" t="s">
        <v>118</v>
      </c>
      <c r="B1372" s="53" t="s">
        <v>124</v>
      </c>
      <c r="C1372" s="53" t="s">
        <v>163</v>
      </c>
      <c r="D1372" s="54">
        <v>0.56400000000000039</v>
      </c>
    </row>
    <row r="1373" spans="1:4" x14ac:dyDescent="0.25">
      <c r="A1373" s="53" t="s">
        <v>118</v>
      </c>
      <c r="B1373" s="53" t="s">
        <v>124</v>
      </c>
      <c r="C1373" s="53" t="s">
        <v>141</v>
      </c>
      <c r="D1373" s="54">
        <v>21.04</v>
      </c>
    </row>
    <row r="1374" spans="1:4" x14ac:dyDescent="0.25">
      <c r="A1374" s="53" t="s">
        <v>118</v>
      </c>
      <c r="B1374" s="53" t="s">
        <v>124</v>
      </c>
      <c r="C1374" s="53" t="s">
        <v>147</v>
      </c>
      <c r="D1374" s="54">
        <v>11.631</v>
      </c>
    </row>
    <row r="1375" spans="1:4" x14ac:dyDescent="0.25">
      <c r="A1375" s="53" t="s">
        <v>118</v>
      </c>
      <c r="B1375" s="53" t="s">
        <v>124</v>
      </c>
      <c r="C1375" s="53" t="s">
        <v>164</v>
      </c>
      <c r="D1375" s="54">
        <v>4.0000000000000001E-3</v>
      </c>
    </row>
    <row r="1376" spans="1:4" x14ac:dyDescent="0.25">
      <c r="A1376" s="53" t="s">
        <v>118</v>
      </c>
      <c r="B1376" s="53" t="s">
        <v>124</v>
      </c>
      <c r="C1376" s="53" t="s">
        <v>158</v>
      </c>
      <c r="D1376" s="54">
        <v>0.31800000000000023</v>
      </c>
    </row>
    <row r="1377" spans="1:4" x14ac:dyDescent="0.25">
      <c r="A1377" s="53" t="s">
        <v>118</v>
      </c>
      <c r="B1377" s="53" t="s">
        <v>124</v>
      </c>
      <c r="C1377" s="53" t="s">
        <v>146</v>
      </c>
      <c r="D1377" s="54">
        <v>0.73900000000000043</v>
      </c>
    </row>
    <row r="1378" spans="1:4" x14ac:dyDescent="0.25">
      <c r="A1378" s="53" t="s">
        <v>118</v>
      </c>
      <c r="B1378" s="53" t="s">
        <v>124</v>
      </c>
      <c r="C1378" s="53" t="s">
        <v>140</v>
      </c>
      <c r="D1378" s="54">
        <v>0.89400000000000013</v>
      </c>
    </row>
    <row r="1379" spans="1:4" x14ac:dyDescent="0.25">
      <c r="A1379" s="53" t="s">
        <v>118</v>
      </c>
      <c r="B1379" s="53" t="s">
        <v>124</v>
      </c>
      <c r="C1379" s="53" t="s">
        <v>121</v>
      </c>
      <c r="D1379" s="54">
        <v>1.4869999999999981</v>
      </c>
    </row>
    <row r="1380" spans="1:4" x14ac:dyDescent="0.25">
      <c r="A1380" s="53" t="s">
        <v>118</v>
      </c>
      <c r="B1380" s="53" t="s">
        <v>124</v>
      </c>
      <c r="C1380" s="53" t="s">
        <v>159</v>
      </c>
      <c r="D1380" s="54">
        <v>0.38900000000000018</v>
      </c>
    </row>
    <row r="1381" spans="1:4" x14ac:dyDescent="0.25">
      <c r="A1381" s="53" t="s">
        <v>118</v>
      </c>
      <c r="B1381" s="53" t="s">
        <v>124</v>
      </c>
      <c r="C1381" s="53" t="s">
        <v>129</v>
      </c>
      <c r="D1381" s="54">
        <v>104.60000000000009</v>
      </c>
    </row>
    <row r="1382" spans="1:4" x14ac:dyDescent="0.25">
      <c r="A1382" s="53" t="s">
        <v>118</v>
      </c>
      <c r="B1382" s="53" t="s">
        <v>124</v>
      </c>
      <c r="C1382" s="53" t="s">
        <v>128</v>
      </c>
      <c r="D1382" s="54">
        <v>55.082000000000001</v>
      </c>
    </row>
    <row r="1383" spans="1:4" x14ac:dyDescent="0.25">
      <c r="A1383" s="53" t="s">
        <v>118</v>
      </c>
      <c r="B1383" s="53" t="s">
        <v>124</v>
      </c>
      <c r="C1383" s="53" t="s">
        <v>156</v>
      </c>
      <c r="D1383" s="54">
        <v>0.2860000000000002</v>
      </c>
    </row>
    <row r="1384" spans="1:4" x14ac:dyDescent="0.25">
      <c r="A1384" s="53" t="s">
        <v>118</v>
      </c>
      <c r="B1384" s="53" t="s">
        <v>124</v>
      </c>
      <c r="C1384" s="53" t="s">
        <v>137</v>
      </c>
      <c r="D1384" s="54">
        <v>37.937000000000012</v>
      </c>
    </row>
    <row r="1385" spans="1:4" x14ac:dyDescent="0.25">
      <c r="A1385" s="53" t="s">
        <v>118</v>
      </c>
      <c r="B1385" s="53" t="s">
        <v>124</v>
      </c>
      <c r="C1385" s="53" t="s">
        <v>139</v>
      </c>
      <c r="D1385" s="54">
        <v>0.19700000000000001</v>
      </c>
    </row>
    <row r="1386" spans="1:4" x14ac:dyDescent="0.25">
      <c r="A1386" s="53" t="s">
        <v>118</v>
      </c>
      <c r="B1386" s="53" t="s">
        <v>124</v>
      </c>
      <c r="C1386" s="53" t="s">
        <v>123</v>
      </c>
      <c r="D1386" s="54">
        <v>48.027000000000001</v>
      </c>
    </row>
    <row r="1387" spans="1:4" x14ac:dyDescent="0.25">
      <c r="A1387" s="53" t="s">
        <v>118</v>
      </c>
      <c r="B1387" s="53" t="s">
        <v>124</v>
      </c>
      <c r="C1387" s="53" t="s">
        <v>148</v>
      </c>
      <c r="D1387" s="54">
        <v>5.5369999999999937</v>
      </c>
    </row>
    <row r="1388" spans="1:4" x14ac:dyDescent="0.25">
      <c r="A1388" s="53" t="s">
        <v>118</v>
      </c>
      <c r="B1388" s="53" t="s">
        <v>124</v>
      </c>
      <c r="C1388" s="53" t="s">
        <v>135</v>
      </c>
      <c r="D1388" s="54">
        <v>0.88800000000000001</v>
      </c>
    </row>
    <row r="1389" spans="1:4" x14ac:dyDescent="0.25">
      <c r="A1389" s="53" t="s">
        <v>118</v>
      </c>
      <c r="B1389" s="53" t="s">
        <v>124</v>
      </c>
      <c r="C1389" s="53" t="s">
        <v>124</v>
      </c>
      <c r="D1389" s="54">
        <v>4.4179999999999984</v>
      </c>
    </row>
    <row r="1390" spans="1:4" x14ac:dyDescent="0.25">
      <c r="A1390" s="53" t="s">
        <v>118</v>
      </c>
      <c r="B1390" s="53" t="s">
        <v>124</v>
      </c>
      <c r="C1390" s="53" t="s">
        <v>167</v>
      </c>
      <c r="D1390" s="54">
        <v>1.4E-2</v>
      </c>
    </row>
    <row r="1391" spans="1:4" x14ac:dyDescent="0.25">
      <c r="A1391" s="53" t="s">
        <v>118</v>
      </c>
      <c r="B1391" s="53" t="s">
        <v>124</v>
      </c>
      <c r="C1391" s="53" t="s">
        <v>155</v>
      </c>
      <c r="D1391" s="54">
        <v>0.24800000000000011</v>
      </c>
    </row>
    <row r="1392" spans="1:4" x14ac:dyDescent="0.25">
      <c r="A1392" s="53" t="s">
        <v>118</v>
      </c>
      <c r="B1392" s="53" t="s">
        <v>124</v>
      </c>
      <c r="C1392" s="53" t="s">
        <v>150</v>
      </c>
      <c r="D1392" s="54">
        <v>1.4E-2</v>
      </c>
    </row>
    <row r="1393" spans="1:4" x14ac:dyDescent="0.25">
      <c r="A1393" s="53" t="s">
        <v>118</v>
      </c>
      <c r="B1393" s="53" t="s">
        <v>124</v>
      </c>
      <c r="C1393" s="53" t="s">
        <v>154</v>
      </c>
      <c r="D1393" s="54">
        <v>0.29300000000000009</v>
      </c>
    </row>
    <row r="1394" spans="1:4" x14ac:dyDescent="0.25">
      <c r="A1394" s="53" t="s">
        <v>118</v>
      </c>
      <c r="B1394" s="53" t="s">
        <v>124</v>
      </c>
      <c r="C1394" s="53" t="s">
        <v>143</v>
      </c>
      <c r="D1394" s="54">
        <v>1.514999999999991</v>
      </c>
    </row>
    <row r="1395" spans="1:4" x14ac:dyDescent="0.25">
      <c r="A1395" s="53" t="s">
        <v>118</v>
      </c>
      <c r="B1395" s="53" t="s">
        <v>124</v>
      </c>
      <c r="C1395" s="53" t="s">
        <v>138</v>
      </c>
      <c r="D1395" s="54">
        <v>38.133000000000017</v>
      </c>
    </row>
    <row r="1396" spans="1:4" x14ac:dyDescent="0.25">
      <c r="A1396" s="53" t="s">
        <v>118</v>
      </c>
      <c r="B1396" s="53" t="s">
        <v>124</v>
      </c>
      <c r="C1396" s="53" t="s">
        <v>157</v>
      </c>
      <c r="D1396" s="54">
        <v>3.2239999999999962</v>
      </c>
    </row>
    <row r="1397" spans="1:4" x14ac:dyDescent="0.25">
      <c r="A1397" s="53" t="s">
        <v>118</v>
      </c>
      <c r="B1397" s="53" t="s">
        <v>124</v>
      </c>
      <c r="C1397" s="53" t="s">
        <v>170</v>
      </c>
      <c r="D1397" s="54">
        <v>6.0000000000000001E-3</v>
      </c>
    </row>
    <row r="1398" spans="1:4" x14ac:dyDescent="0.25">
      <c r="A1398" s="53" t="s">
        <v>118</v>
      </c>
      <c r="B1398" s="53" t="s">
        <v>124</v>
      </c>
      <c r="C1398" s="53" t="s">
        <v>125</v>
      </c>
      <c r="D1398" s="54">
        <v>49.52600000000001</v>
      </c>
    </row>
    <row r="1399" spans="1:4" x14ac:dyDescent="0.25">
      <c r="A1399" s="53" t="s">
        <v>118</v>
      </c>
      <c r="B1399" s="53" t="s">
        <v>124</v>
      </c>
      <c r="C1399" s="53" t="s">
        <v>122</v>
      </c>
      <c r="D1399" s="54">
        <v>3.7579999999999969</v>
      </c>
    </row>
    <row r="1400" spans="1:4" x14ac:dyDescent="0.25">
      <c r="A1400" s="53" t="s">
        <v>118</v>
      </c>
      <c r="B1400" s="53" t="s">
        <v>124</v>
      </c>
      <c r="C1400" s="53" t="s">
        <v>152</v>
      </c>
      <c r="D1400" s="54">
        <v>0.6950000000000004</v>
      </c>
    </row>
    <row r="1401" spans="1:4" x14ac:dyDescent="0.25">
      <c r="A1401" s="53" t="s">
        <v>118</v>
      </c>
      <c r="B1401" s="53" t="s">
        <v>124</v>
      </c>
      <c r="C1401" s="53" t="s">
        <v>126</v>
      </c>
      <c r="D1401" s="54">
        <v>25.518999999999998</v>
      </c>
    </row>
    <row r="1402" spans="1:4" x14ac:dyDescent="0.25">
      <c r="A1402" s="53" t="s">
        <v>118</v>
      </c>
      <c r="B1402" s="53" t="s">
        <v>124</v>
      </c>
      <c r="C1402" s="53" t="s">
        <v>131</v>
      </c>
      <c r="D1402" s="54">
        <v>3.0000000000000001E-3</v>
      </c>
    </row>
    <row r="1403" spans="1:4" x14ac:dyDescent="0.25">
      <c r="A1403" s="53" t="s">
        <v>118</v>
      </c>
      <c r="B1403" s="53" t="s">
        <v>124</v>
      </c>
      <c r="C1403" s="53" t="s">
        <v>165</v>
      </c>
      <c r="D1403" s="54">
        <v>2E-3</v>
      </c>
    </row>
    <row r="1404" spans="1:4" x14ac:dyDescent="0.25">
      <c r="A1404" s="53" t="s">
        <v>118</v>
      </c>
      <c r="B1404" s="53" t="s">
        <v>124</v>
      </c>
      <c r="C1404" s="53" t="s">
        <v>132</v>
      </c>
      <c r="D1404" s="54">
        <v>52.353000000000051</v>
      </c>
    </row>
    <row r="1405" spans="1:4" x14ac:dyDescent="0.25">
      <c r="A1405" s="53" t="s">
        <v>118</v>
      </c>
      <c r="B1405" s="53" t="s">
        <v>124</v>
      </c>
      <c r="C1405" s="53" t="s">
        <v>168</v>
      </c>
      <c r="D1405" s="54">
        <v>2.4140000000000001</v>
      </c>
    </row>
    <row r="1406" spans="1:4" x14ac:dyDescent="0.25">
      <c r="A1406" s="53" t="s">
        <v>118</v>
      </c>
      <c r="B1406" s="53" t="s">
        <v>138</v>
      </c>
      <c r="C1406" s="53" t="s">
        <v>127</v>
      </c>
      <c r="D1406" s="54">
        <v>3.0000000000000001E-3</v>
      </c>
    </row>
    <row r="1407" spans="1:4" x14ac:dyDescent="0.25">
      <c r="A1407" s="53" t="s">
        <v>118</v>
      </c>
      <c r="B1407" s="53" t="s">
        <v>131</v>
      </c>
      <c r="C1407" s="53" t="s">
        <v>133</v>
      </c>
      <c r="D1407" s="54">
        <v>1E-3</v>
      </c>
    </row>
    <row r="1408" spans="1:4" x14ac:dyDescent="0.25">
      <c r="A1408" s="53" t="s">
        <v>118</v>
      </c>
      <c r="B1408" s="53" t="s">
        <v>131</v>
      </c>
      <c r="C1408" s="53" t="s">
        <v>130</v>
      </c>
      <c r="D1408" s="54">
        <v>4.0000000000000001E-3</v>
      </c>
    </row>
    <row r="1409" spans="1:4" x14ac:dyDescent="0.25">
      <c r="A1409" s="53" t="s">
        <v>118</v>
      </c>
      <c r="B1409" s="53" t="s">
        <v>131</v>
      </c>
      <c r="C1409" s="53" t="s">
        <v>136</v>
      </c>
      <c r="D1409" s="54">
        <v>3.0000000000000001E-3</v>
      </c>
    </row>
    <row r="1410" spans="1:4" x14ac:dyDescent="0.25">
      <c r="A1410" s="53" t="s">
        <v>118</v>
      </c>
      <c r="B1410" s="53" t="s">
        <v>131</v>
      </c>
      <c r="C1410" s="53" t="s">
        <v>127</v>
      </c>
      <c r="D1410" s="54">
        <v>8.6000000000000007E-2</v>
      </c>
    </row>
    <row r="1411" spans="1:4" x14ac:dyDescent="0.25">
      <c r="A1411" s="53" t="s">
        <v>118</v>
      </c>
      <c r="B1411" s="53" t="s">
        <v>131</v>
      </c>
      <c r="C1411" s="53" t="s">
        <v>135</v>
      </c>
      <c r="D1411" s="54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Scenarios</vt:lpstr>
      <vt:lpstr>Tram</vt:lpstr>
      <vt:lpstr>Metro</vt:lpstr>
      <vt:lpstr>First Entrance</vt:lpstr>
      <vt:lpstr>S5 Green Short Analysis</vt:lpstr>
      <vt:lpstr>Metro!Print_Area</vt:lpstr>
      <vt:lpstr>Scenarios!Print_Area</vt:lpstr>
      <vt:lpstr>Tram!Print_Area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Fuad Ibrahimzada</cp:lastModifiedBy>
  <cp:lastPrinted>2026-06-02T10:38:27Z</cp:lastPrinted>
  <dcterms:created xsi:type="dcterms:W3CDTF">2026-04-20T06:39:54Z</dcterms:created>
  <dcterms:modified xsi:type="dcterms:W3CDTF">2026-06-11T11:47:43Z</dcterms:modified>
</cp:coreProperties>
</file>